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92741bce5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Ranking" sheetId="1" r:id="R8bffd98c80b948d1"/>
    <x:sheet xmlns:r="http://schemas.openxmlformats.org/officeDocument/2006/relationships" name="GW Participation 9-7" sheetId="2" r:id="Raac42b0540cf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46B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2"/>
      <x:color rgb="FF9C65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  <x:fill>
      <x:patternFill patternType="solid">
        <x:fgColor rgb="FFF2F6FA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6">
    <x:border/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10" xfId="0" applyNumberFormat="1" applyFont="1" applyFill="1" applyBorder="1"/>
    <x:xf numFmtId="0" fontId="0" fillId="6" borderId="12" xfId="0" applyNumberFormat="1" applyFont="1" applyFill="1" applyBorder="1"/>
    <x:xf numFmtId="0" fontId="0" fillId="7" borderId="3" xfId="0" applyNumberFormat="1" applyFont="1" applyFill="1" applyBorder="1"/>
    <x:xf numFmtId="0" fontId="5" fillId="7" borderId="3" xfId="0" applyNumberFormat="1" applyFont="1" applyFill="1" applyBorder="1"/>
    <x:xf numFmtId="0" fontId="5" fillId="7" borderId="14" xfId="0" applyNumberFormat="1" applyFont="1" applyFill="1" applyBorder="1"/>
    <x:xf numFmtId="0" fontId="5" fillId="7" borderId="14" xfId="0" applyNumberFormat="1" applyFont="1" applyFill="1" applyBorder="1" applyAlignment="1">
      <x:alignment horizontal="center"/>
    </x:xf>
    <x:xf numFmtId="0" fontId="0" fillId="7" borderId="9" xfId="0" applyNumberFormat="1" applyFont="1" applyFill="1" applyBorder="1"/>
    <x:xf numFmtId="0" fontId="5" fillId="7" borderId="9" xfId="0" applyNumberFormat="1" applyFont="1" applyFill="1" applyBorder="1"/>
    <x:xf numFmtId="0" fontId="5" fillId="7" borderId="15" xfId="0" applyNumberFormat="1" applyFont="1" applyFill="1" applyBorder="1"/>
    <x:xf numFmtId="0" fontId="5" fillId="7" borderId="1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5" fillId="7" borderId="14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/>
    <x:xf numFmtId="201" fontId="5" fillId="7" borderId="15" xfId="0" applyNumberFormat="1" applyFont="1" applyFill="1" applyBorder="1" applyAlignment="1">
      <x:alignment horizontal="center"/>
    </x:xf>
    <x:xf numFmtId="201" fontId="0" fillId="0" borderId="11" xfId="0" applyNumberFormat="1" applyFont="1" applyFill="1" applyBorder="1"/>
    <x:xf numFmtId="202" fontId="0" fillId="0" borderId="5" xfId="0" applyNumberFormat="1" applyFont="1" applyFill="1" applyBorder="1"/>
    <x:xf numFmtId="202" fontId="0" fillId="0" borderId="11" xfId="0" applyNumberFormat="1" applyFont="1" applyFill="1" applyBorder="1"/>
    <x:xf numFmtId="20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left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horizontal="center"/>
    </x:xf>
    <x:xf numFmtId="0" fontId="4" fillId="9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/>
    </x:xf>
    <x:xf numFmtId="0" fontId="4" fillId="13" borderId="2" xfId="0" applyNumberFormat="1" applyFont="1" applyFill="1" applyBorder="1" applyAlignment="1">
      <x:alignment horizontal="center"/>
    </x:xf>
    <x:xf numFmtId="0" fontId="4" fillId="13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ill>
        <x:patternFill>
          <x:bgColor rgb="FFFCE8E6"/>
        </x:patternFill>
      </x:fill>
    </x:dxf>
    <x:dxf>
      <x:fill>
        <x:patternFill>
          <x:bgColor rgb="FFE2F0D9"/>
        </x:patternFill>
      </x:fill>
    </x:dxf>
    <x:dxf>
      <x:font>
        <x:b/>
        <x:color rgb="FF1F4E78"/>
      </x:font>
    </x:dxf>
    <x:dxf>
      <x:font>
        <x:b/>
        <x:color rgb="FF9C6500"/>
      </x:font>
    </x:dxf>
    <x:dxf>
      <x:font>
        <x:b/>
        <x:color rgb="FF7030A0"/>
      </x:font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a69c0086c4faf" /><Relationship Type="http://schemas.openxmlformats.org/officeDocument/2006/relationships/theme" Target="/xl/theme/theme1.xml" Id="R9e505118b47f490f" /><Relationship Type="http://schemas.openxmlformats.org/officeDocument/2006/relationships/sharedStrings" Target="/xl/sharedStrings.xml" Id="R170c8a2c6c0e44d9" /><Relationship Type="http://schemas.openxmlformats.org/officeDocument/2006/relationships/worksheet" Target="/xl/worksheets/sheet1.xml" Id="R8bffd98c80b948d1" /><Relationship Type="http://schemas.openxmlformats.org/officeDocument/2006/relationships/worksheet" Target="/xl/worksheets/sheet2.xml" Id="Raac42b0540cf4484" /></Relationships>
</file>

<file path=xl/tables/table1.xml><?xml version="1.0" encoding="utf-8"?>
<x:table xmlns:x="http://schemas.openxmlformats.org/spreadsheetml/2006/main" id="1" name="AllianceRosterTable" displayName="AllianceRosterTable" ref="A4:F104" headerRowCount="1" totalsRowCount="0" totalsRowShown="0">
  <x:tableColumns count="6">
    <x:tableColumn id="1" name="Power Rank"/>
    <x:tableColumn id="2" name="Alliance Rank"/>
    <x:tableColumn id="3" name="Alliance"/>
    <x:tableColumn id="4" name="Username"/>
    <x:tableColumn id="5" name="Level"/>
    <x:tableColumn id="6" name="Power (M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WParticipationTable" displayName="GWParticipationTable" ref="A4:G104" headerRowCount="1" totalsRowCount="0" totalsRowShown="0">
  <x:tableColumns count="7">
    <x:tableColumn id="1" name="Power Rank"/>
    <x:tableColumn id="2" name="Alliance Rank"/>
    <x:tableColumn id="3" name="Alliance"/>
    <x:tableColumn id="4" name="Username"/>
    <x:tableColumn id="5" name="Level"/>
    <x:tableColumn id="6" name="Power (M)"/>
    <x:tableColumn id="7" name="GW Participation 9/7 Confirm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ee5fa0710649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b2e33775cd4db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24" hidden="0" customWidth="1"/>
    <x:col min="5" max="5" width="9" hidden="0" customWidth="1"/>
    <x:col min="6" max="6" width="12" hidden="0" customWidth="1"/>
    <x:col min="8" max="8" width="16" hidden="0" customWidth="1"/>
    <x:col min="9" max="9" width="12" hidden="0" customWidth="1"/>
    <x:col min="11" max="11" width="20" hidden="0" customWidth="1"/>
    <x:col min="12" max="12" width="14" hidden="0" customWidth="1"/>
  </x:cols>
  <x:sheetData>
    <x:row r="1" ht="28" customHeight="1">
      <x:c r="A1" s="5" t="str">
        <x:v>Last Z Alliance Members — Power Ranking &amp; Origin</x:v>
      </x:c>
      <x:c r="B1" s="5"/>
      <x:c r="C1" s="5"/>
      <x:c r="D1" s="5"/>
      <x:c r="E1" s="5"/>
      <x:c r="F1" s="5"/>
      <x:c r="H1" s="25" t="str">
        <x:v>Alliance Rank Counts</x:v>
      </x:c>
      <x:c r="I1" s="25"/>
      <x:c r="K1" s="25" t="str">
        <x:v>Power Cutoff Analysis</x:v>
      </x:c>
      <x:c r="L1" s="25"/>
    </x:row>
    <x:row r="2" ht="22" customHeight="1">
      <x:c r="A2" s="12" t="str">
        <x:v>Source: ScreenRecording_09-07-2026 07-39-52_1.mp4 • Alliance = CAPO / ROYL / STRY</x:v>
      </x:c>
      <x:c r="B2" s="12"/>
      <x:c r="C2" s="12"/>
      <x:c r="D2" s="12"/>
      <x:c r="E2" s="12"/>
      <x:c r="F2" s="12"/>
      <x:c r="H2" s="36" t="str">
        <x:v>Rank</x:v>
      </x:c>
      <x:c r="I2" s="37" t="str">
        <x:v>Members</x:v>
      </x:c>
      <x:c r="K2" s="52" t="str">
        <x:v>Cutoff (M)</x:v>
      </x:c>
      <x:c r="L2" s="70" t="n">
        <x:v>150</x:v>
      </x:c>
    </x:row>
    <x:row r="3">
      <x:c r="H3" s="38" t="str">
        <x:v>R5</x:v>
      </x:c>
      <x:c r="I3" s="39" t="n">
        <x:f>COUNTIF($B$5:$B$104,"R5")</x:f>
        <x:v>1</x:v>
      </x:c>
      <x:c r="K3" s="53" t="str">
        <x:v>Members Below</x:v>
      </x:c>
      <x:c r="L3" s="71" t="n">
        <x:f>COUNTIF($F$5:$F$104,"&lt;"&amp;$L$2)</x:f>
        <x:v>26</x:v>
      </x:c>
    </x:row>
    <x:row r="4">
      <x:c r="A4" s="19" t="str">
        <x:v>Power Rank</x:v>
      </x:c>
      <x:c r="B4" s="19" t="str">
        <x:v>Alliance Rank</x:v>
      </x:c>
      <x:c r="C4" s="19" t="str">
        <x:v>Alliance</x:v>
      </x:c>
      <x:c r="D4" s="19" t="str">
        <x:v>Username</x:v>
      </x:c>
      <x:c r="E4" s="19" t="str">
        <x:v>Level</x:v>
      </x:c>
      <x:c r="F4" s="19" t="str">
        <x:v>Power (M)</x:v>
      </x:c>
      <x:c r="H4" s="38" t="str">
        <x:v>R4</x:v>
      </x:c>
      <x:c r="I4" s="39" t="n">
        <x:f>COUNTIF($B$5:$B$104,"R4")</x:f>
        <x:v>8</x:v>
      </x:c>
      <x:c r="K4" s="53" t="str">
        <x:v>Members At/Above</x:v>
      </x:c>
      <x:c r="L4" s="71" t="n">
        <x:f>COUNTA($D$5:$D$104)-$L$3</x:f>
        <x:v>74</x:v>
      </x:c>
    </x:row>
    <x:row r="5">
      <x:c r="A5" s="66" t="n">
        <x:v>1</x:v>
      </x:c>
      <x:c r="B5" t="str">
        <x:v>R4</x:v>
      </x:c>
      <x:c r="C5" t="str">
        <x:v>ROYL</x:v>
      </x:c>
      <x:c r="D5" t="str">
        <x:v>Mario AK47</x:v>
      </x:c>
      <x:c r="E5" s="66" t="n">
        <x:v>35</x:v>
      </x:c>
      <x:c r="F5" s="68" t="n">
        <x:v>836.8</x:v>
      </x:c>
      <x:c r="H5" s="38" t="str">
        <x:v>R3</x:v>
      </x:c>
      <x:c r="I5" s="39" t="n">
        <x:f>COUNTIF($B$5:$B$104,"R3")</x:f>
        <x:v>91</x:v>
      </x:c>
      <x:c r="K5" s="53" t="str">
        <x:v>% Below</x:v>
      </x:c>
      <x:c r="L5" s="74" t="n">
        <x:f>$L$3/COUNTA($D$5:$D$104)</x:f>
        <x:v>0.26</x:v>
      </x:c>
    </x:row>
    <x:row r="6">
      <x:c r="A6" s="66" t="n">
        <x:v>2</x:v>
      </x:c>
      <x:c r="B6" t="str">
        <x:v>R3</x:v>
      </x:c>
      <x:c r="C6" t="str">
        <x:v>CAPO</x:v>
      </x:c>
      <x:c r="D6" t="str">
        <x:v>IcemanPowaaa</x:v>
      </x:c>
      <x:c r="E6" s="66" t="n">
        <x:v>34</x:v>
      </x:c>
      <x:c r="F6" s="68" t="n">
        <x:v>424.4</x:v>
      </x:c>
      <x:c r="H6" s="38" t="str">
        <x:v>R2</x:v>
      </x:c>
      <x:c r="I6" s="39" t="n">
        <x:f>COUNTIF($B$5:$B$104,"R2")</x:f>
        <x:v>0</x:v>
      </x:c>
      <x:c r="K6" s="54" t="str">
        <x:v>Total Members</x:v>
      </x:c>
      <x:c r="L6" s="76" t="n">
        <x:f>COUNTA($D$5:$D$104)</x:f>
        <x:v>100</x:v>
      </x:c>
    </x:row>
    <x:row r="7">
      <x:c r="A7" s="66" t="n">
        <x:v>3</x:v>
      </x:c>
      <x:c r="B7" t="str">
        <x:v>R4</x:v>
      </x:c>
      <x:c r="C7" t="str">
        <x:v>ROYL</x:v>
      </x:c>
      <x:c r="D7" t="str">
        <x:v>Appins</x:v>
      </x:c>
      <x:c r="E7" s="66" t="n">
        <x:v>35</x:v>
      </x:c>
      <x:c r="F7" s="68" t="n">
        <x:v>301.3</x:v>
      </x:c>
      <x:c r="H7" s="38" t="str">
        <x:v>R1</x:v>
      </x:c>
      <x:c r="I7" s="39" t="n">
        <x:f>COUNTIF($B$5:$B$104,"R1")</x:f>
        <x:v>0</x:v>
      </x:c>
    </x:row>
    <x:row r="8">
      <x:c r="A8" s="66" t="n">
        <x:v>4</x:v>
      </x:c>
      <x:c r="B8" t="str">
        <x:v>R3</x:v>
      </x:c>
      <x:c r="C8" t="str">
        <x:v>CAPO</x:v>
      </x:c>
      <x:c r="D8" t="str">
        <x:v>Rrrrrrrrrd</x:v>
      </x:c>
      <x:c r="E8" s="66" t="n">
        <x:v>34</x:v>
      </x:c>
      <x:c r="F8" s="68" t="n">
        <x:v>299.9</x:v>
      </x:c>
      <x:c r="H8" s="40" t="str">
        <x:v>Total</x:v>
      </x:c>
      <x:c r="I8" s="41" t="n">
        <x:f>COUNTA($D$5:$D$104)</x:f>
        <x:v>100</x:v>
      </x:c>
    </x:row>
    <x:row r="9">
      <x:c r="A9" s="66" t="n">
        <x:v>5</x:v>
      </x:c>
      <x:c r="B9" t="str">
        <x:v>R3</x:v>
      </x:c>
      <x:c r="C9" t="str">
        <x:v>STRY</x:v>
      </x:c>
      <x:c r="D9" t="str">
        <x:v>Ultra EGO</x:v>
      </x:c>
      <x:c r="E9" s="66" t="n">
        <x:v>35</x:v>
      </x:c>
      <x:c r="F9" s="68" t="n">
        <x:v>295.1</x:v>
      </x:c>
    </x:row>
    <x:row r="10">
      <x:c r="A10" s="66" t="n">
        <x:v>6</x:v>
      </x:c>
      <x:c r="B10" t="str">
        <x:v>R4</x:v>
      </x:c>
      <x:c r="C10" t="str">
        <x:v>ROYL</x:v>
      </x:c>
      <x:c r="D10" t="str">
        <x:v>Nemo Hoes</x:v>
      </x:c>
      <x:c r="E10" s="66" t="n">
        <x:v>35</x:v>
      </x:c>
      <x:c r="F10" s="68" t="n">
        <x:v>278</x:v>
      </x:c>
      <x:c r="H10" s="25" t="str">
        <x:v>Alliance Counts</x:v>
      </x:c>
      <x:c r="I10" s="25"/>
    </x:row>
    <x:row r="11">
      <x:c r="A11" s="66" t="n">
        <x:v>7</x:v>
      </x:c>
      <x:c r="B11" t="str">
        <x:v>R3</x:v>
      </x:c>
      <x:c r="C11" t="str">
        <x:v>ROYL</x:v>
      </x:c>
      <x:c r="D11" t="str">
        <x:v>DeeDeeeee</x:v>
      </x:c>
      <x:c r="E11" s="66" t="n">
        <x:v>35</x:v>
      </x:c>
      <x:c r="F11" s="68" t="n">
        <x:v>265.7</x:v>
      </x:c>
      <x:c r="H11" s="36" t="str">
        <x:v>Alliance</x:v>
      </x:c>
      <x:c r="I11" s="37" t="str">
        <x:v>Members</x:v>
      </x:c>
    </x:row>
    <x:row r="12">
      <x:c r="A12" s="66" t="n">
        <x:v>8</x:v>
      </x:c>
      <x:c r="B12" t="str">
        <x:v>R5</x:v>
      </x:c>
      <x:c r="C12" t="str">
        <x:v>STRY</x:v>
      </x:c>
      <x:c r="D12" t="str">
        <x:v>Queen Rouge</x:v>
      </x:c>
      <x:c r="E12" s="66" t="n">
        <x:v>33</x:v>
      </x:c>
      <x:c r="F12" s="68" t="n">
        <x:v>264.1</x:v>
      </x:c>
      <x:c r="H12" s="38" t="str">
        <x:v>STRY</x:v>
      </x:c>
      <x:c r="I12" s="39" t="n">
        <x:f>COUNTIF($C$5:$C$104,"STRY")</x:f>
        <x:v>38</x:v>
      </x:c>
    </x:row>
    <x:row r="13">
      <x:c r="A13" s="66" t="n">
        <x:v>9</x:v>
      </x:c>
      <x:c r="B13" t="str">
        <x:v>R3</x:v>
      </x:c>
      <x:c r="C13" t="str">
        <x:v>ROYL</x:v>
      </x:c>
      <x:c r="D13" t="str">
        <x:v>Dorin</x:v>
      </x:c>
      <x:c r="E13" s="66" t="n">
        <x:v>35</x:v>
      </x:c>
      <x:c r="F13" s="68" t="n">
        <x:v>261.6</x:v>
      </x:c>
      <x:c r="H13" s="38" t="str">
        <x:v>ROYL</x:v>
      </x:c>
      <x:c r="I13" s="39" t="n">
        <x:f>COUNTIF($C$5:$C$104,"ROYL")</x:f>
        <x:v>33</x:v>
      </x:c>
    </x:row>
    <x:row r="14">
      <x:c r="A14" s="66" t="n">
        <x:v>10</x:v>
      </x:c>
      <x:c r="B14" t="str">
        <x:v>R3</x:v>
      </x:c>
      <x:c r="C14" t="str">
        <x:v>CAPO</x:v>
      </x:c>
      <x:c r="D14" t="str">
        <x:v>Shastorm</x:v>
      </x:c>
      <x:c r="E14" s="66" t="n">
        <x:v>31</x:v>
      </x:c>
      <x:c r="F14" s="68" t="n">
        <x:v>240.8</x:v>
      </x:c>
      <x:c r="H14" s="38" t="str">
        <x:v>CAPO</x:v>
      </x:c>
      <x:c r="I14" s="39" t="n">
        <x:f>COUNTIF($C$5:$C$104,"CAPO")</x:f>
        <x:v>29</x:v>
      </x:c>
    </x:row>
    <x:row r="15">
      <x:c r="A15" s="66" t="n">
        <x:v>11</x:v>
      </x:c>
      <x:c r="B15" t="str">
        <x:v>R4</x:v>
      </x:c>
      <x:c r="C15" t="str">
        <x:v>ROYL</x:v>
      </x:c>
      <x:c r="D15" t="str">
        <x:v>Apparition-</x:v>
      </x:c>
      <x:c r="E15" s="66" t="n">
        <x:v>35</x:v>
      </x:c>
      <x:c r="F15" s="68" t="n">
        <x:v>239.7</x:v>
      </x:c>
      <x:c r="H15" s="40" t="str">
        <x:v>Total</x:v>
      </x:c>
      <x:c r="I15" s="41" t="n">
        <x:f>COUNTA($D$5:$D$104)</x:f>
        <x:v>100</x:v>
      </x:c>
    </x:row>
    <x:row r="16">
      <x:c r="A16" s="66" t="n">
        <x:v>12</x:v>
      </x:c>
      <x:c r="B16" t="str">
        <x:v>R3</x:v>
      </x:c>
      <x:c r="C16" t="str">
        <x:v>CAPO</x:v>
      </x:c>
      <x:c r="D16" t="str">
        <x:v>R8drz4life</x:v>
      </x:c>
      <x:c r="E16" s="66" t="n">
        <x:v>33</x:v>
      </x:c>
      <x:c r="F16" s="68" t="n">
        <x:v>222.1</x:v>
      </x:c>
    </x:row>
    <x:row r="17">
      <x:c r="A17" s="66" t="n">
        <x:v>13</x:v>
      </x:c>
      <x:c r="B17" t="str">
        <x:v>R3</x:v>
      </x:c>
      <x:c r="C17" t="str">
        <x:v>ROYL</x:v>
      </x:c>
      <x:c r="D17" t="str">
        <x:v>RockyNoSpeedUps</x:v>
      </x:c>
      <x:c r="E17" s="66" t="n">
        <x:v>34</x:v>
      </x:c>
      <x:c r="F17" s="68" t="n">
        <x:v>215.2</x:v>
      </x:c>
      <x:c r="H17" s="25" t="str">
        <x:v>Alliance assignment rules</x:v>
      </x:c>
      <x:c r="I17" s="25"/>
      <x:c r="J17" s="25"/>
      <x:c r="K17" s="25"/>
      <x:c r="L17" s="25"/>
    </x:row>
    <x:row r="18">
      <x:c r="A18" s="66" t="n">
        <x:v>14</x:v>
      </x:c>
      <x:c r="B18" t="str">
        <x:v>R3</x:v>
      </x:c>
      <x:c r="C18" t="str">
        <x:v>ROYL</x:v>
      </x:c>
      <x:c r="D18" t="str">
        <x:v>Dvon Khan</x:v>
      </x:c>
      <x:c r="E18" s="66" t="n">
        <x:v>35</x:v>
      </x:c>
      <x:c r="F18" s="68" t="n">
        <x:v>213.1</x:v>
      </x:c>
      <x:c r="H18" s="34" t="str">
        <x:v>CAPO: RosolinoFriddi, Pappless, Mada, plus members identified as CAPO in the prior roster (former R1 members remain CAPO after promotion).
ROYL: members carried forward from the prior ROYL cohort, including recognized renamed aliases.
STRY: all remaining members. Alliance cells are editable dropdowns.</x:v>
      </x:c>
      <x:c r="I18" s="34"/>
      <x:c r="J18" s="34"/>
      <x:c r="K18" s="34"/>
      <x:c r="L18" s="34"/>
    </x:row>
    <x:row r="19">
      <x:c r="A19" s="66" t="n">
        <x:v>15</x:v>
      </x:c>
      <x:c r="B19" t="str">
        <x:v>R3</x:v>
      </x:c>
      <x:c r="C19" t="str">
        <x:v>CAPO</x:v>
      </x:c>
      <x:c r="D19" t="str">
        <x:v>-PIM-</x:v>
      </x:c>
      <x:c r="E19" s="66" t="n">
        <x:v>35</x:v>
      </x:c>
      <x:c r="F19" s="68" t="n">
        <x:v>211</x:v>
      </x:c>
      <x:c r="H19" s="34"/>
      <x:c r="I19" s="34"/>
      <x:c r="J19" s="34"/>
      <x:c r="K19" s="34"/>
      <x:c r="L19" s="34"/>
    </x:row>
    <x:row r="20">
      <x:c r="A20" s="66" t="n">
        <x:v>16</x:v>
      </x:c>
      <x:c r="B20" t="str">
        <x:v>R3</x:v>
      </x:c>
      <x:c r="C20" t="str">
        <x:v>STRY</x:v>
      </x:c>
      <x:c r="D20" t="str">
        <x:v>Sats0mNlak</x:v>
      </x:c>
      <x:c r="E20" s="66" t="n">
        <x:v>32</x:v>
      </x:c>
      <x:c r="F20" s="68" t="n">
        <x:v>207.2</x:v>
      </x:c>
      <x:c r="H20" s="34"/>
      <x:c r="I20" s="34"/>
      <x:c r="J20" s="34"/>
      <x:c r="K20" s="34"/>
      <x:c r="L20" s="34"/>
    </x:row>
    <x:row r="21">
      <x:c r="A21" s="66" t="n">
        <x:v>17</x:v>
      </x:c>
      <x:c r="B21" t="str">
        <x:v>R3</x:v>
      </x:c>
      <x:c r="C21" t="str">
        <x:v>STRY</x:v>
      </x:c>
      <x:c r="D21" t="str">
        <x:v>JoelitoBB</x:v>
      </x:c>
      <x:c r="E21" s="66" t="n">
        <x:v>34</x:v>
      </x:c>
      <x:c r="F21" s="68" t="n">
        <x:v>206.3</x:v>
      </x:c>
      <x:c r="H21" s="34"/>
      <x:c r="I21" s="34"/>
      <x:c r="J21" s="34"/>
      <x:c r="K21" s="34"/>
      <x:c r="L21" s="34"/>
    </x:row>
    <x:row r="22">
      <x:c r="A22" s="66" t="n">
        <x:v>18</x:v>
      </x:c>
      <x:c r="B22" t="str">
        <x:v>R3</x:v>
      </x:c>
      <x:c r="C22" t="str">
        <x:v>STRY</x:v>
      </x:c>
      <x:c r="D22" t="str">
        <x:v>SwiftBunny DH</x:v>
      </x:c>
      <x:c r="E22" s="66" t="n">
        <x:v>33</x:v>
      </x:c>
      <x:c r="F22" s="68" t="n">
        <x:v>206</x:v>
      </x:c>
      <x:c r="H22" s="34"/>
      <x:c r="I22" s="34"/>
      <x:c r="J22" s="34"/>
      <x:c r="K22" s="34"/>
      <x:c r="L22" s="34"/>
    </x:row>
    <x:row r="23">
      <x:c r="A23" s="66" t="n">
        <x:v>19</x:v>
      </x:c>
      <x:c r="B23" t="str">
        <x:v>R3</x:v>
      </x:c>
      <x:c r="C23" t="str">
        <x:v>STRY</x:v>
      </x:c>
      <x:c r="D23" t="str">
        <x:v>JAY QUEEN</x:v>
      </x:c>
      <x:c r="E23" s="66" t="n">
        <x:v>35</x:v>
      </x:c>
      <x:c r="F23" s="68" t="n">
        <x:v>204.4</x:v>
      </x:c>
    </x:row>
    <x:row r="24">
      <x:c r="A24" s="66" t="n">
        <x:v>20</x:v>
      </x:c>
      <x:c r="B24" t="str">
        <x:v>R3</x:v>
      </x:c>
      <x:c r="C24" t="str">
        <x:v>ROYL</x:v>
      </x:c>
      <x:c r="D24" t="str">
        <x:v>Tẽmujïn</x:v>
      </x:c>
      <x:c r="E24" s="66" t="n">
        <x:v>34</x:v>
      </x:c>
      <x:c r="F24" s="68" t="n">
        <x:v>203</x:v>
      </x:c>
    </x:row>
    <x:row r="25">
      <x:c r="A25" s="66" t="n">
        <x:v>21</x:v>
      </x:c>
      <x:c r="B25" t="str">
        <x:v>R3</x:v>
      </x:c>
      <x:c r="C25" t="str">
        <x:v>CAPO</x:v>
      </x:c>
      <x:c r="D25" t="str">
        <x:v>Captain Cake</x:v>
      </x:c>
      <x:c r="E25" s="66" t="n">
        <x:v>34</x:v>
      </x:c>
      <x:c r="F25" s="68" t="n">
        <x:v>202.6</x:v>
      </x:c>
    </x:row>
    <x:row r="26">
      <x:c r="A26" s="66" t="n">
        <x:v>22</x:v>
      </x:c>
      <x:c r="B26" t="str">
        <x:v>R3</x:v>
      </x:c>
      <x:c r="C26" t="str">
        <x:v>STRY</x:v>
      </x:c>
      <x:c r="D26" t="str">
        <x:v>Victoria13</x:v>
      </x:c>
      <x:c r="E26" s="66" t="n">
        <x:v>34</x:v>
      </x:c>
      <x:c r="F26" s="68" t="n">
        <x:v>201.3</x:v>
      </x:c>
    </x:row>
    <x:row r="27">
      <x:c r="A27" s="66" t="n">
        <x:v>23</x:v>
      </x:c>
      <x:c r="B27" t="str">
        <x:v>R3</x:v>
      </x:c>
      <x:c r="C27" t="str">
        <x:v>ROYL</x:v>
      </x:c>
      <x:c r="D27" t="str">
        <x:v>CooksLS9</x:v>
      </x:c>
      <x:c r="E27" s="66" t="n">
        <x:v>34</x:v>
      </x:c>
      <x:c r="F27" s="68" t="n">
        <x:v>201.1</x:v>
      </x:c>
    </x:row>
    <x:row r="28">
      <x:c r="A28" s="66" t="n">
        <x:v>24</x:v>
      </x:c>
      <x:c r="B28" t="str">
        <x:v>R4</x:v>
      </x:c>
      <x:c r="C28" t="str">
        <x:v>CAPO</x:v>
      </x:c>
      <x:c r="D28" t="str">
        <x:v>Mada</x:v>
      </x:c>
      <x:c r="E28" s="66" t="n">
        <x:v>32</x:v>
      </x:c>
      <x:c r="F28" s="68" t="n">
        <x:v>199.6</x:v>
      </x:c>
    </x:row>
    <x:row r="29">
      <x:c r="A29" s="66" t="n">
        <x:v>25</x:v>
      </x:c>
      <x:c r="B29" t="str">
        <x:v>R3</x:v>
      </x:c>
      <x:c r="C29" t="str">
        <x:v>STRY</x:v>
      </x:c>
      <x:c r="D29" t="str">
        <x:v>• Dyo •</x:v>
      </x:c>
      <x:c r="E29" s="66" t="n">
        <x:v>32</x:v>
      </x:c>
      <x:c r="F29" s="68" t="n">
        <x:v>199.3</x:v>
      </x:c>
    </x:row>
    <x:row r="30">
      <x:c r="A30" s="66" t="n">
        <x:v>26</x:v>
      </x:c>
      <x:c r="B30" t="str">
        <x:v>R3</x:v>
      </x:c>
      <x:c r="C30" t="str">
        <x:v>ROYL</x:v>
      </x:c>
      <x:c r="D30" t="str">
        <x:v>UndertakerGreg</x:v>
      </x:c>
      <x:c r="E30" s="66" t="n">
        <x:v>32</x:v>
      </x:c>
      <x:c r="F30" s="68" t="n">
        <x:v>198.3</x:v>
      </x:c>
    </x:row>
    <x:row r="31">
      <x:c r="A31" s="66" t="n">
        <x:v>27</x:v>
      </x:c>
      <x:c r="B31" t="str">
        <x:v>R3</x:v>
      </x:c>
      <x:c r="C31" t="str">
        <x:v>STRY</x:v>
      </x:c>
      <x:c r="D31" t="str">
        <x:v>Elmo</x:v>
      </x:c>
      <x:c r="E31" s="66" t="n">
        <x:v>35</x:v>
      </x:c>
      <x:c r="F31" s="68" t="n">
        <x:v>197.9</x:v>
      </x:c>
    </x:row>
    <x:row r="32">
      <x:c r="A32" s="66" t="n">
        <x:v>28</x:v>
      </x:c>
      <x:c r="B32" t="str">
        <x:v>R3</x:v>
      </x:c>
      <x:c r="C32" t="str">
        <x:v>ROYL</x:v>
      </x:c>
      <x:c r="D32" t="str">
        <x:v>Chika Strike</x:v>
      </x:c>
      <x:c r="E32" s="66" t="n">
        <x:v>32</x:v>
      </x:c>
      <x:c r="F32" s="68" t="n">
        <x:v>197.7</x:v>
      </x:c>
    </x:row>
    <x:row r="33">
      <x:c r="A33" s="66" t="n">
        <x:v>29</x:v>
      </x:c>
      <x:c r="B33" t="str">
        <x:v>R3</x:v>
      </x:c>
      <x:c r="C33" t="str">
        <x:v>ROYL</x:v>
      </x:c>
      <x:c r="D33" t="str">
        <x:v>SnoopyB</x:v>
      </x:c>
      <x:c r="E33" s="66" t="n">
        <x:v>35</x:v>
      </x:c>
      <x:c r="F33" s="68" t="n">
        <x:v>196.2</x:v>
      </x:c>
    </x:row>
    <x:row r="34">
      <x:c r="A34" s="66" t="n">
        <x:v>30</x:v>
      </x:c>
      <x:c r="B34" t="str">
        <x:v>R3</x:v>
      </x:c>
      <x:c r="C34" t="str">
        <x:v>CAPO</x:v>
      </x:c>
      <x:c r="D34" t="str">
        <x:v>hausshavoc</x:v>
      </x:c>
      <x:c r="E34" s="66" t="n">
        <x:v>31</x:v>
      </x:c>
      <x:c r="F34" s="68" t="n">
        <x:v>193.9</x:v>
      </x:c>
    </x:row>
    <x:row r="35">
      <x:c r="A35" s="66" t="n">
        <x:v>31</x:v>
      </x:c>
      <x:c r="B35" t="str">
        <x:v>R3</x:v>
      </x:c>
      <x:c r="C35" t="str">
        <x:v>ROYL</x:v>
      </x:c>
      <x:c r="D35" t="str">
        <x:v>MaKaRa</x:v>
      </x:c>
      <x:c r="E35" s="66" t="n">
        <x:v>34</x:v>
      </x:c>
      <x:c r="F35" s="68" t="n">
        <x:v>193.6</x:v>
      </x:c>
    </x:row>
    <x:row r="36">
      <x:c r="A36" s="66" t="n">
        <x:v>32</x:v>
      </x:c>
      <x:c r="B36" t="str">
        <x:v>R3</x:v>
      </x:c>
      <x:c r="C36" t="str">
        <x:v>CAPO</x:v>
      </x:c>
      <x:c r="D36" t="str">
        <x:v>Giovanni Savage</x:v>
      </x:c>
      <x:c r="E36" s="66" t="n">
        <x:v>35</x:v>
      </x:c>
      <x:c r="F36" s="68" t="n">
        <x:v>192.7</x:v>
      </x:c>
    </x:row>
    <x:row r="37">
      <x:c r="A37" s="66" t="n">
        <x:v>33</x:v>
      </x:c>
      <x:c r="B37" t="str">
        <x:v>R3</x:v>
      </x:c>
      <x:c r="C37" t="str">
        <x:v>STRY</x:v>
      </x:c>
      <x:c r="D37" t="str">
        <x:v>KEV1980</x:v>
      </x:c>
      <x:c r="E37" s="66" t="n">
        <x:v>33</x:v>
      </x:c>
      <x:c r="F37" s="68" t="n">
        <x:v>191.7</x:v>
      </x:c>
    </x:row>
    <x:row r="38">
      <x:c r="A38" s="66" t="n">
        <x:v>34</x:v>
      </x:c>
      <x:c r="B38" t="str">
        <x:v>R3</x:v>
      </x:c>
      <x:c r="C38" t="str">
        <x:v>ROYL</x:v>
      </x:c>
      <x:c r="D38" t="str">
        <x:v>raZ</x:v>
      </x:c>
      <x:c r="E38" s="66" t="n">
        <x:v>34</x:v>
      </x:c>
      <x:c r="F38" s="68" t="n">
        <x:v>190.8</x:v>
      </x:c>
    </x:row>
    <x:row r="39">
      <x:c r="A39" s="66" t="n">
        <x:v>35</x:v>
      </x:c>
      <x:c r="B39" t="str">
        <x:v>R3</x:v>
      </x:c>
      <x:c r="C39" t="str">
        <x:v>CAPO</x:v>
      </x:c>
      <x:c r="D39" t="str">
        <x:v>Dinkleberg6969</x:v>
      </x:c>
      <x:c r="E39" s="66" t="n">
        <x:v>32</x:v>
      </x:c>
      <x:c r="F39" s="68" t="n">
        <x:v>188.3</x:v>
      </x:c>
    </x:row>
    <x:row r="40">
      <x:c r="A40" s="66" t="n">
        <x:v>36</x:v>
      </x:c>
      <x:c r="B40" t="str">
        <x:v>R3</x:v>
      </x:c>
      <x:c r="C40" t="str">
        <x:v>ROYL</x:v>
      </x:c>
      <x:c r="D40" t="str">
        <x:v>MathSic</x:v>
      </x:c>
      <x:c r="E40" s="66" t="n">
        <x:v>35</x:v>
      </x:c>
      <x:c r="F40" s="68" t="n">
        <x:v>187.2</x:v>
      </x:c>
    </x:row>
    <x:row r="41">
      <x:c r="A41" s="66" t="n">
        <x:v>37</x:v>
      </x:c>
      <x:c r="B41" t="str">
        <x:v>R3</x:v>
      </x:c>
      <x:c r="C41" t="str">
        <x:v>ROYL</x:v>
      </x:c>
      <x:c r="D41" t="str">
        <x:v>Tubbie 300BLK</x:v>
      </x:c>
      <x:c r="E41" s="66" t="n">
        <x:v>33</x:v>
      </x:c>
      <x:c r="F41" s="68" t="n">
        <x:v>186.9</x:v>
      </x:c>
    </x:row>
    <x:row r="42">
      <x:c r="A42" s="66" t="n">
        <x:v>38</x:v>
      </x:c>
      <x:c r="B42" t="str">
        <x:v>R3</x:v>
      </x:c>
      <x:c r="C42" t="str">
        <x:v>STRY</x:v>
      </x:c>
      <x:c r="D42" t="str">
        <x:v>Kane •</x:v>
      </x:c>
      <x:c r="E42" s="66" t="n">
        <x:v>34</x:v>
      </x:c>
      <x:c r="F42" s="68" t="n">
        <x:v>186.5</x:v>
      </x:c>
    </x:row>
    <x:row r="43">
      <x:c r="A43" s="66" t="n">
        <x:v>39</x:v>
      </x:c>
      <x:c r="B43" t="str">
        <x:v>R3</x:v>
      </x:c>
      <x:c r="C43" t="str">
        <x:v>STRY</x:v>
      </x:c>
      <x:c r="D43" t="str">
        <x:v>PablitoSnow</x:v>
      </x:c>
      <x:c r="E43" s="66" t="n">
        <x:v>30</x:v>
      </x:c>
      <x:c r="F43" s="68" t="n">
        <x:v>183.8</x:v>
      </x:c>
    </x:row>
    <x:row r="44">
      <x:c r="A44" s="66" t="n">
        <x:v>40</x:v>
      </x:c>
      <x:c r="B44" t="str">
        <x:v>R3</x:v>
      </x:c>
      <x:c r="C44" t="str">
        <x:v>ROYL</x:v>
      </x:c>
      <x:c r="D44" t="str">
        <x:v>JetPed</x:v>
      </x:c>
      <x:c r="E44" s="66" t="n">
        <x:v>31</x:v>
      </x:c>
      <x:c r="F44" s="68" t="n">
        <x:v>183</x:v>
      </x:c>
    </x:row>
    <x:row r="45">
      <x:c r="A45" s="66" t="n">
        <x:v>41</x:v>
      </x:c>
      <x:c r="B45" t="str">
        <x:v>R3</x:v>
      </x:c>
      <x:c r="C45" t="str">
        <x:v>ROYL</x:v>
      </x:c>
      <x:c r="D45" t="str">
        <x:v>Flowmotion47</x:v>
      </x:c>
      <x:c r="E45" s="66" t="n">
        <x:v>30</x:v>
      </x:c>
      <x:c r="F45" s="68" t="n">
        <x:v>182.8</x:v>
      </x:c>
    </x:row>
    <x:row r="46">
      <x:c r="A46" s="66" t="n">
        <x:v>42</x:v>
      </x:c>
      <x:c r="B46" t="str">
        <x:v>R3</x:v>
      </x:c>
      <x:c r="C46" t="str">
        <x:v>ROYL</x:v>
      </x:c>
      <x:c r="D46" t="str">
        <x:v>Mapinski</x:v>
      </x:c>
      <x:c r="E46" s="66" t="n">
        <x:v>35</x:v>
      </x:c>
      <x:c r="F46" s="68" t="n">
        <x:v>181.9</x:v>
      </x:c>
    </x:row>
    <x:row r="47">
      <x:c r="A47" s="66" t="n">
        <x:v>43</x:v>
      </x:c>
      <x:c r="B47" t="str">
        <x:v>R4</x:v>
      </x:c>
      <x:c r="C47" t="str">
        <x:v>CAPO</x:v>
      </x:c>
      <x:c r="D47" t="str">
        <x:v>RosolinoFriddi</x:v>
      </x:c>
      <x:c r="E47" s="66" t="n">
        <x:v>32</x:v>
      </x:c>
      <x:c r="F47" s="68" t="n">
        <x:v>180.9</x:v>
      </x:c>
    </x:row>
    <x:row r="48">
      <x:c r="A48" s="66" t="n">
        <x:v>44</x:v>
      </x:c>
      <x:c r="B48" t="str">
        <x:v>R3</x:v>
      </x:c>
      <x:c r="C48" t="str">
        <x:v>ROYL</x:v>
      </x:c>
      <x:c r="D48" t="str">
        <x:v>• TooN •</x:v>
      </x:c>
      <x:c r="E48" s="66" t="n">
        <x:v>34</x:v>
      </x:c>
      <x:c r="F48" s="68" t="n">
        <x:v>179.7</x:v>
      </x:c>
    </x:row>
    <x:row r="49">
      <x:c r="A49" s="66" t="n">
        <x:v>45</x:v>
      </x:c>
      <x:c r="B49" t="str">
        <x:v>R3</x:v>
      </x:c>
      <x:c r="C49" t="str">
        <x:v>STRY</x:v>
      </x:c>
      <x:c r="D49" t="str">
        <x:v>Matt02</x:v>
      </x:c>
      <x:c r="E49" s="66" t="n">
        <x:v>33</x:v>
      </x:c>
      <x:c r="F49" s="68" t="n">
        <x:v>179.4</x:v>
      </x:c>
    </x:row>
    <x:row r="50">
      <x:c r="A50" s="66" t="n">
        <x:v>46</x:v>
      </x:c>
      <x:c r="B50" t="str">
        <x:v>R3</x:v>
      </x:c>
      <x:c r="C50" t="str">
        <x:v>STRY</x:v>
      </x:c>
      <x:c r="D50" t="str">
        <x:v>PajuHalfLapin</x:v>
      </x:c>
      <x:c r="E50" s="66" t="n">
        <x:v>31</x:v>
      </x:c>
      <x:c r="F50" s="68" t="n">
        <x:v>178.9</x:v>
      </x:c>
    </x:row>
    <x:row r="51">
      <x:c r="A51" s="66" t="n">
        <x:v>47</x:v>
      </x:c>
      <x:c r="B51" t="str">
        <x:v>R3</x:v>
      </x:c>
      <x:c r="C51" t="str">
        <x:v>STRY</x:v>
      </x:c>
      <x:c r="D51" t="str">
        <x:v>DemonKingg</x:v>
      </x:c>
      <x:c r="E51" s="66" t="n">
        <x:v>33</x:v>
      </x:c>
      <x:c r="F51" s="68" t="n">
        <x:v>178.7</x:v>
      </x:c>
    </x:row>
    <x:row r="52">
      <x:c r="A52" s="66" t="n">
        <x:v>48</x:v>
      </x:c>
      <x:c r="B52" t="str">
        <x:v>R3</x:v>
      </x:c>
      <x:c r="C52" t="str">
        <x:v>STRY</x:v>
      </x:c>
      <x:c r="D52" t="str">
        <x:v>Provh</x:v>
      </x:c>
      <x:c r="E52" s="66" t="n">
        <x:v>30</x:v>
      </x:c>
      <x:c r="F52" s="68" t="n">
        <x:v>178</x:v>
      </x:c>
    </x:row>
    <x:row r="53">
      <x:c r="A53" s="66" t="n">
        <x:v>49</x:v>
      </x:c>
      <x:c r="B53" t="str">
        <x:v>R3</x:v>
      </x:c>
      <x:c r="C53" t="str">
        <x:v>CAPO</x:v>
      </x:c>
      <x:c r="D53" t="str">
        <x:v>Twist of Fate</x:v>
      </x:c>
      <x:c r="E53" s="66" t="n">
        <x:v>32</x:v>
      </x:c>
      <x:c r="F53" s="68" t="n">
        <x:v>177.2</x:v>
      </x:c>
    </x:row>
    <x:row r="54">
      <x:c r="A54" s="66" t="n">
        <x:v>50</x:v>
      </x:c>
      <x:c r="B54" t="str">
        <x:v>R3</x:v>
      </x:c>
      <x:c r="C54" t="str">
        <x:v>ROYL</x:v>
      </x:c>
      <x:c r="D54" t="str">
        <x:v>Anton S</x:v>
      </x:c>
      <x:c r="E54" s="66" t="n">
        <x:v>34</x:v>
      </x:c>
      <x:c r="F54" s="68" t="n">
        <x:v>176.6</x:v>
      </x:c>
    </x:row>
    <x:row r="55">
      <x:c r="A55" s="66" t="n">
        <x:v>51</x:v>
      </x:c>
      <x:c r="B55" t="str">
        <x:v>R3</x:v>
      </x:c>
      <x:c r="C55" t="str">
        <x:v>ROYL</x:v>
      </x:c>
      <x:c r="D55" t="str">
        <x:v>-Yeti-</x:v>
      </x:c>
      <x:c r="E55" s="66" t="n">
        <x:v>32</x:v>
      </x:c>
      <x:c r="F55" s="68" t="n">
        <x:v>174.9</x:v>
      </x:c>
    </x:row>
    <x:row r="56">
      <x:c r="A56" s="66" t="n">
        <x:v>52</x:v>
      </x:c>
      <x:c r="B56" t="str">
        <x:v>R3</x:v>
      </x:c>
      <x:c r="C56" t="str">
        <x:v>STRY</x:v>
      </x:c>
      <x:c r="D56" t="str">
        <x:v>SophieUa</x:v>
      </x:c>
      <x:c r="E56" s="66" t="n">
        <x:v>32</x:v>
      </x:c>
      <x:c r="F56" s="68" t="n">
        <x:v>174.4</x:v>
      </x:c>
    </x:row>
    <x:row r="57">
      <x:c r="A57" s="66" t="n">
        <x:v>53</x:v>
      </x:c>
      <x:c r="B57" t="str">
        <x:v>R3</x:v>
      </x:c>
      <x:c r="C57" t="str">
        <x:v>ROYL</x:v>
      </x:c>
      <x:c r="D57" t="str">
        <x:v>LoC187</x:v>
      </x:c>
      <x:c r="E57" s="66" t="n">
        <x:v>34</x:v>
      </x:c>
      <x:c r="F57" s="68" t="n">
        <x:v>173.7</x:v>
      </x:c>
    </x:row>
    <x:row r="58">
      <x:c r="A58" s="66" t="n">
        <x:v>54</x:v>
      </x:c>
      <x:c r="B58" t="str">
        <x:v>R3</x:v>
      </x:c>
      <x:c r="C58" t="str">
        <x:v>STRY</x:v>
      </x:c>
      <x:c r="D58" t="str">
        <x:v>levON</x:v>
      </x:c>
      <x:c r="E58" s="66" t="n">
        <x:v>32</x:v>
      </x:c>
      <x:c r="F58" s="68" t="n">
        <x:v>173.3</x:v>
      </x:c>
    </x:row>
    <x:row r="59">
      <x:c r="A59" s="66" t="n">
        <x:v>55</x:v>
      </x:c>
      <x:c r="B59" t="str">
        <x:v>R4</x:v>
      </x:c>
      <x:c r="C59" t="str">
        <x:v>STRY</x:v>
      </x:c>
      <x:c r="D59" t="str">
        <x:v>TinaG</x:v>
      </x:c>
      <x:c r="E59" s="66" t="n">
        <x:v>33</x:v>
      </x:c>
      <x:c r="F59" s="68" t="n">
        <x:v>173.2</x:v>
      </x:c>
    </x:row>
    <x:row r="60">
      <x:c r="A60" s="66" t="n">
        <x:v>56</x:v>
      </x:c>
      <x:c r="B60" t="str">
        <x:v>R3</x:v>
      </x:c>
      <x:c r="C60" t="str">
        <x:v>STRY</x:v>
      </x:c>
      <x:c r="D60" t="str">
        <x:v>Wakeboy</x:v>
      </x:c>
      <x:c r="E60" s="66" t="n">
        <x:v>31</x:v>
      </x:c>
      <x:c r="F60" s="68" t="n">
        <x:v>170.3</x:v>
      </x:c>
    </x:row>
    <x:row r="61">
      <x:c r="A61" s="66" t="n">
        <x:v>57</x:v>
      </x:c>
      <x:c r="B61" t="str">
        <x:v>R3</x:v>
      </x:c>
      <x:c r="C61" t="str">
        <x:v>ROYL</x:v>
      </x:c>
      <x:c r="D61" t="str">
        <x:v>Thir13en</x:v>
      </x:c>
      <x:c r="E61" s="66" t="n">
        <x:v>33</x:v>
      </x:c>
      <x:c r="F61" s="68" t="n">
        <x:v>167.3</x:v>
      </x:c>
    </x:row>
    <x:row r="62">
      <x:c r="A62" s="66" t="n">
        <x:v>58</x:v>
      </x:c>
      <x:c r="B62" t="str">
        <x:v>R3</x:v>
      </x:c>
      <x:c r="C62" t="str">
        <x:v>CAPO</x:v>
      </x:c>
      <x:c r="D62" t="str">
        <x:v>KingLow</x:v>
      </x:c>
      <x:c r="E62" s="66" t="n">
        <x:v>33</x:v>
      </x:c>
      <x:c r="F62" s="68" t="n">
        <x:v>165</x:v>
      </x:c>
    </x:row>
    <x:row r="63">
      <x:c r="A63" s="66" t="n">
        <x:v>59</x:v>
      </x:c>
      <x:c r="B63" t="str">
        <x:v>R3</x:v>
      </x:c>
      <x:c r="C63" t="str">
        <x:v>ROYL</x:v>
      </x:c>
      <x:c r="D63" t="str">
        <x:v>InkedWitch</x:v>
      </x:c>
      <x:c r="E63" s="66" t="n">
        <x:v>34</x:v>
      </x:c>
      <x:c r="F63" s="68" t="n">
        <x:v>164.7</x:v>
      </x:c>
    </x:row>
    <x:row r="64">
      <x:c r="A64" s="66" t="n">
        <x:v>60</x:v>
      </x:c>
      <x:c r="B64" t="str">
        <x:v>R3</x:v>
      </x:c>
      <x:c r="C64" t="str">
        <x:v>ROYL</x:v>
      </x:c>
      <x:c r="D64" t="str">
        <x:v>MamaBt</x:v>
      </x:c>
      <x:c r="E64" s="66" t="n">
        <x:v>32</x:v>
      </x:c>
      <x:c r="F64" s="68" t="n">
        <x:v>164.5</x:v>
      </x:c>
    </x:row>
    <x:row r="65">
      <x:c r="A65" s="66" t="n">
        <x:v>61</x:v>
      </x:c>
      <x:c r="B65" t="str">
        <x:v>R3</x:v>
      </x:c>
      <x:c r="C65" t="str">
        <x:v>CAPO</x:v>
      </x:c>
      <x:c r="D65" t="str">
        <x:v>Galihad</x:v>
      </x:c>
      <x:c r="E65" s="66" t="n">
        <x:v>32</x:v>
      </x:c>
      <x:c r="F65" s="68" t="n">
        <x:v>162.5</x:v>
      </x:c>
    </x:row>
    <x:row r="66">
      <x:c r="A66" s="66" t="n">
        <x:v>62</x:v>
      </x:c>
      <x:c r="B66" t="str">
        <x:v>R3</x:v>
      </x:c>
      <x:c r="C66" t="str">
        <x:v>CAPO</x:v>
      </x:c>
      <x:c r="D66" t="str">
        <x:v>USO Kiwi</x:v>
      </x:c>
      <x:c r="E66" s="66" t="n">
        <x:v>32</x:v>
      </x:c>
      <x:c r="F66" s="68" t="n">
        <x:v>161.9</x:v>
      </x:c>
    </x:row>
    <x:row r="67">
      <x:c r="A67" s="66" t="n">
        <x:v>63</x:v>
      </x:c>
      <x:c r="B67" t="str">
        <x:v>R4</x:v>
      </x:c>
      <x:c r="C67" t="str">
        <x:v>CAPO</x:v>
      </x:c>
      <x:c r="D67" t="str">
        <x:v>Pappless</x:v>
      </x:c>
      <x:c r="E67" s="66" t="n">
        <x:v>31</x:v>
      </x:c>
      <x:c r="F67" s="68" t="n">
        <x:v>158.8</x:v>
      </x:c>
    </x:row>
    <x:row r="68">
      <x:c r="A68" s="66" t="n">
        <x:v>64</x:v>
      </x:c>
      <x:c r="B68" t="str">
        <x:v>R3</x:v>
      </x:c>
      <x:c r="C68" t="str">
        <x:v>ROYL</x:v>
      </x:c>
      <x:c r="D68" t="str">
        <x:v>DontMesswNess</x:v>
      </x:c>
      <x:c r="E68" s="66" t="n">
        <x:v>33</x:v>
      </x:c>
      <x:c r="F68" s="68" t="n">
        <x:v>158.7</x:v>
      </x:c>
    </x:row>
    <x:row r="69">
      <x:c r="A69" s="66" t="n">
        <x:v>65</x:v>
      </x:c>
      <x:c r="B69" t="str">
        <x:v>R3</x:v>
      </x:c>
      <x:c r="C69" t="str">
        <x:v>STRY</x:v>
      </x:c>
      <x:c r="D69" t="str">
        <x:v>Bachter</x:v>
      </x:c>
      <x:c r="E69" s="66" t="n">
        <x:v>32</x:v>
      </x:c>
      <x:c r="F69" s="68" t="n">
        <x:v>158.2</x:v>
      </x:c>
    </x:row>
    <x:row r="70">
      <x:c r="A70" s="66" t="n">
        <x:v>66</x:v>
      </x:c>
      <x:c r="B70" t="str">
        <x:v>R3</x:v>
      </x:c>
      <x:c r="C70" t="str">
        <x:v>ROYL</x:v>
      </x:c>
      <x:c r="D70" t="str">
        <x:v>Dr House 96</x:v>
      </x:c>
      <x:c r="E70" s="66" t="n">
        <x:v>31</x:v>
      </x:c>
      <x:c r="F70" s="68" t="n">
        <x:v>158.1</x:v>
      </x:c>
    </x:row>
    <x:row r="71">
      <x:c r="A71" s="66" t="n">
        <x:v>67</x:v>
      </x:c>
      <x:c r="B71" t="str">
        <x:v>R3</x:v>
      </x:c>
      <x:c r="C71" t="str">
        <x:v>CAPO</x:v>
      </x:c>
      <x:c r="D71" t="str">
        <x:v>Sanatio Fax</x:v>
      </x:c>
      <x:c r="E71" s="66" t="n">
        <x:v>31</x:v>
      </x:c>
      <x:c r="F71" s="68" t="n">
        <x:v>157.4</x:v>
      </x:c>
    </x:row>
    <x:row r="72">
      <x:c r="A72" s="66" t="n">
        <x:v>68</x:v>
      </x:c>
      <x:c r="B72" t="str">
        <x:v>R3</x:v>
      </x:c>
      <x:c r="C72" t="str">
        <x:v>ROYL</x:v>
      </x:c>
      <x:c r="D72" t="str">
        <x:v>Pmari Snow</x:v>
      </x:c>
      <x:c r="E72" s="66" t="n">
        <x:v>33</x:v>
      </x:c>
      <x:c r="F72" s="68" t="n">
        <x:v>157.3</x:v>
      </x:c>
    </x:row>
    <x:row r="73">
      <x:c r="A73" s="66" t="n">
        <x:v>69</x:v>
      </x:c>
      <x:c r="B73" t="str">
        <x:v>R3</x:v>
      </x:c>
      <x:c r="C73" t="str">
        <x:v>ROYL</x:v>
      </x:c>
      <x:c r="D73" t="str">
        <x:v>pi nk</x:v>
      </x:c>
      <x:c r="E73" s="66" t="n">
        <x:v>31</x:v>
      </x:c>
      <x:c r="F73" s="68" t="n">
        <x:v>156.8</x:v>
      </x:c>
    </x:row>
    <x:row r="74">
      <x:c r="A74" s="66" t="n">
        <x:v>70</x:v>
      </x:c>
      <x:c r="B74" t="str">
        <x:v>R3</x:v>
      </x:c>
      <x:c r="C74" t="str">
        <x:v>ROYL</x:v>
      </x:c>
      <x:c r="D74" t="str">
        <x:v>King of goats</x:v>
      </x:c>
      <x:c r="E74" s="66" t="n">
        <x:v>31</x:v>
      </x:c>
      <x:c r="F74" s="68" t="n">
        <x:v>156.8</x:v>
      </x:c>
    </x:row>
    <x:row r="75">
      <x:c r="A75" s="66" t="n">
        <x:v>71</x:v>
      </x:c>
      <x:c r="B75" t="str">
        <x:v>R3</x:v>
      </x:c>
      <x:c r="C75" t="str">
        <x:v>ROYL</x:v>
      </x:c>
      <x:c r="D75" t="str">
        <x:v>MysticPotato</x:v>
      </x:c>
      <x:c r="E75" s="66" t="n">
        <x:v>33</x:v>
      </x:c>
      <x:c r="F75" s="68" t="n">
        <x:v>155.9</x:v>
      </x:c>
    </x:row>
    <x:row r="76">
      <x:c r="A76" s="66" t="n">
        <x:v>72</x:v>
      </x:c>
      <x:c r="B76" t="str">
        <x:v>R3</x:v>
      </x:c>
      <x:c r="C76" t="str">
        <x:v>CAPO</x:v>
      </x:c>
      <x:c r="D76" t="str">
        <x:v>Pandoraloft</x:v>
      </x:c>
      <x:c r="E76" s="66" t="n">
        <x:v>31</x:v>
      </x:c>
      <x:c r="F76" s="68" t="n">
        <x:v>153.1</x:v>
      </x:c>
    </x:row>
    <x:row r="77">
      <x:c r="A77" s="66" t="n">
        <x:v>73</x:v>
      </x:c>
      <x:c r="B77" t="str">
        <x:v>R3</x:v>
      </x:c>
      <x:c r="C77" t="str">
        <x:v>STRY</x:v>
      </x:c>
      <x:c r="D77" t="str">
        <x:v>AvatarNavi</x:v>
      </x:c>
      <x:c r="E77" s="66" t="n">
        <x:v>33</x:v>
      </x:c>
      <x:c r="F77" s="68" t="n">
        <x:v>152.6</x:v>
      </x:c>
    </x:row>
    <x:row r="78">
      <x:c r="A78" s="66" t="n">
        <x:v>74</x:v>
      </x:c>
      <x:c r="B78" t="str">
        <x:v>R3</x:v>
      </x:c>
      <x:c r="C78" t="str">
        <x:v>STRY</x:v>
      </x:c>
      <x:c r="D78" t="str">
        <x:v>Potepuhec</x:v>
      </x:c>
      <x:c r="E78" s="66" t="n">
        <x:v>33</x:v>
      </x:c>
      <x:c r="F78" s="68" t="n">
        <x:v>151.5</x:v>
      </x:c>
    </x:row>
    <x:row r="79">
      <x:c r="A79" s="66" t="n">
        <x:v>75</x:v>
      </x:c>
      <x:c r="B79" t="str">
        <x:v>R3</x:v>
      </x:c>
      <x:c r="C79" t="str">
        <x:v>STRY</x:v>
      </x:c>
      <x:c r="D79" t="str">
        <x:v>Raul863</x:v>
      </x:c>
      <x:c r="E79" s="66" t="n">
        <x:v>32</x:v>
      </x:c>
      <x:c r="F79" s="68" t="n">
        <x:v>147.1</x:v>
      </x:c>
    </x:row>
    <x:row r="80">
      <x:c r="A80" s="66" t="n">
        <x:v>76</x:v>
      </x:c>
      <x:c r="B80" t="str">
        <x:v>R3</x:v>
      </x:c>
      <x:c r="C80" t="str">
        <x:v>STRY</x:v>
      </x:c>
      <x:c r="D80" t="str">
        <x:v>Kotsos rs6</x:v>
      </x:c>
      <x:c r="E80" s="66" t="n">
        <x:v>30</x:v>
      </x:c>
      <x:c r="F80" s="68" t="n">
        <x:v>144.5</x:v>
      </x:c>
    </x:row>
    <x:row r="81">
      <x:c r="A81" s="66" t="n">
        <x:v>77</x:v>
      </x:c>
      <x:c r="B81" t="str">
        <x:v>R3</x:v>
      </x:c>
      <x:c r="C81" t="str">
        <x:v>CAPO</x:v>
      </x:c>
      <x:c r="D81" t="str">
        <x:v>Warriorwarrior</x:v>
      </x:c>
      <x:c r="E81" s="66" t="n">
        <x:v>31</x:v>
      </x:c>
      <x:c r="F81" s="68" t="n">
        <x:v>142.9</x:v>
      </x:c>
    </x:row>
    <x:row r="82">
      <x:c r="A82" s="66" t="n">
        <x:v>78</x:v>
      </x:c>
      <x:c r="B82" t="str">
        <x:v>R3</x:v>
      </x:c>
      <x:c r="C82" t="str">
        <x:v>CAPO</x:v>
      </x:c>
      <x:c r="D82" t="str">
        <x:v>Krakenasaurus</x:v>
      </x:c>
      <x:c r="E82" s="66" t="n">
        <x:v>32</x:v>
      </x:c>
      <x:c r="F82" s="68" t="n">
        <x:v>142.3</x:v>
      </x:c>
    </x:row>
    <x:row r="83">
      <x:c r="A83" s="66" t="n">
        <x:v>79</x:v>
      </x:c>
      <x:c r="B83" t="str">
        <x:v>R3</x:v>
      </x:c>
      <x:c r="C83" t="str">
        <x:v>STRY</x:v>
      </x:c>
      <x:c r="D83" t="str">
        <x:v>kikimyu</x:v>
      </x:c>
      <x:c r="E83" s="66" t="n">
        <x:v>30</x:v>
      </x:c>
      <x:c r="F83" s="68" t="n">
        <x:v>142</x:v>
      </x:c>
    </x:row>
    <x:row r="84">
      <x:c r="A84" s="66" t="n">
        <x:v>80</x:v>
      </x:c>
      <x:c r="B84" t="str">
        <x:v>R3</x:v>
      </x:c>
      <x:c r="C84" t="str">
        <x:v>STRY</x:v>
      </x:c>
      <x:c r="D84" t="str">
        <x:v>Thrykika</x:v>
      </x:c>
      <x:c r="E84" s="66" t="n">
        <x:v>30</x:v>
      </x:c>
      <x:c r="F84" s="68" t="n">
        <x:v>140.3</x:v>
      </x:c>
    </x:row>
    <x:row r="85">
      <x:c r="A85" s="66" t="n">
        <x:v>81</x:v>
      </x:c>
      <x:c r="B85" t="str">
        <x:v>R3</x:v>
      </x:c>
      <x:c r="C85" t="str">
        <x:v>STRY</x:v>
      </x:c>
      <x:c r="D85" t="str">
        <x:v>fivos tech</x:v>
      </x:c>
      <x:c r="E85" s="66" t="n">
        <x:v>30</x:v>
      </x:c>
      <x:c r="F85" s="68" t="n">
        <x:v>139.9</x:v>
      </x:c>
    </x:row>
    <x:row r="86">
      <x:c r="A86" s="66" t="n">
        <x:v>82</x:v>
      </x:c>
      <x:c r="B86" t="str">
        <x:v>R3</x:v>
      </x:c>
      <x:c r="C86" t="str">
        <x:v>CAPO</x:v>
      </x:c>
      <x:c r="D86" t="str">
        <x:v>the david</x:v>
      </x:c>
      <x:c r="E86" s="66" t="n">
        <x:v>30</x:v>
      </x:c>
      <x:c r="F86" s="68" t="n">
        <x:v>139</x:v>
      </x:c>
    </x:row>
    <x:row r="87">
      <x:c r="A87" s="66" t="n">
        <x:v>83</x:v>
      </x:c>
      <x:c r="B87" t="str">
        <x:v>R3</x:v>
      </x:c>
      <x:c r="C87" t="str">
        <x:v>CAPO</x:v>
      </x:c>
      <x:c r="D87" t="str">
        <x:v>-Aleks-</x:v>
      </x:c>
      <x:c r="E87" s="66" t="n">
        <x:v>31</x:v>
      </x:c>
      <x:c r="F87" s="68" t="n">
        <x:v>138.9</x:v>
      </x:c>
    </x:row>
    <x:row r="88">
      <x:c r="A88" s="66" t="n">
        <x:v>84</x:v>
      </x:c>
      <x:c r="B88" t="str">
        <x:v>R3</x:v>
      </x:c>
      <x:c r="C88" t="str">
        <x:v>STRY</x:v>
      </x:c>
      <x:c r="D88" t="str">
        <x:v>Jeanniee</x:v>
      </x:c>
      <x:c r="E88" s="66" t="n">
        <x:v>31</x:v>
      </x:c>
      <x:c r="F88" s="68" t="n">
        <x:v>136.7</x:v>
      </x:c>
    </x:row>
    <x:row r="89">
      <x:c r="A89" s="66" t="n">
        <x:v>85</x:v>
      </x:c>
      <x:c r="B89" t="str">
        <x:v>R3</x:v>
      </x:c>
      <x:c r="C89" t="str">
        <x:v>STRY</x:v>
      </x:c>
      <x:c r="D89" t="str">
        <x:v>crumbum271</x:v>
      </x:c>
      <x:c r="E89" s="66" t="n">
        <x:v>30</x:v>
      </x:c>
      <x:c r="F89" s="68" t="n">
        <x:v>135</x:v>
      </x:c>
    </x:row>
    <x:row r="90">
      <x:c r="A90" s="66" t="n">
        <x:v>86</x:v>
      </x:c>
      <x:c r="B90" t="str">
        <x:v>R3</x:v>
      </x:c>
      <x:c r="C90" t="str">
        <x:v>CAPO</x:v>
      </x:c>
      <x:c r="D90" t="str">
        <x:v>LostSoul1213</x:v>
      </x:c>
      <x:c r="E90" s="66" t="n">
        <x:v>29</x:v>
      </x:c>
      <x:c r="F90" s="68" t="n">
        <x:v>134.5</x:v>
      </x:c>
    </x:row>
    <x:row r="91">
      <x:c r="A91" s="66" t="n">
        <x:v>87</x:v>
      </x:c>
      <x:c r="B91" t="str">
        <x:v>R3</x:v>
      </x:c>
      <x:c r="C91" t="str">
        <x:v>STRY</x:v>
      </x:c>
      <x:c r="D91" t="str">
        <x:v>Wanderer629</x:v>
      </x:c>
      <x:c r="E91" s="66" t="n">
        <x:v>30</x:v>
      </x:c>
      <x:c r="F91" s="68" t="n">
        <x:v>133.7</x:v>
      </x:c>
    </x:row>
    <x:row r="92">
      <x:c r="A92" s="66" t="n">
        <x:v>88</x:v>
      </x:c>
      <x:c r="B92" t="str">
        <x:v>R3</x:v>
      </x:c>
      <x:c r="C92" t="str">
        <x:v>STRY</x:v>
      </x:c>
      <x:c r="D92" t="str">
        <x:v>Bigfor86</x:v>
      </x:c>
      <x:c r="E92" s="66" t="n">
        <x:v>32</x:v>
      </x:c>
      <x:c r="F92" s="68" t="n">
        <x:v>131.9</x:v>
      </x:c>
    </x:row>
    <x:row r="93">
      <x:c r="A93" s="66" t="n">
        <x:v>89</x:v>
      </x:c>
      <x:c r="B93" t="str">
        <x:v>R3</x:v>
      </x:c>
      <x:c r="C93" t="str">
        <x:v>STRY</x:v>
      </x:c>
      <x:c r="D93" t="str">
        <x:v>SantiSalice</x:v>
      </x:c>
      <x:c r="E93" s="66" t="n">
        <x:v>31</x:v>
      </x:c>
      <x:c r="F93" s="68" t="n">
        <x:v>130.7</x:v>
      </x:c>
    </x:row>
    <x:row r="94">
      <x:c r="A94" s="66" t="n">
        <x:v>90</x:v>
      </x:c>
      <x:c r="B94" t="str">
        <x:v>R3</x:v>
      </x:c>
      <x:c r="C94" t="str">
        <x:v>CAPO</x:v>
      </x:c>
      <x:c r="D94" t="str">
        <x:v>Robamboo</x:v>
      </x:c>
      <x:c r="E94" s="66" t="n">
        <x:v>30</x:v>
      </x:c>
      <x:c r="F94" s="68" t="n">
        <x:v>130.1</x:v>
      </x:c>
    </x:row>
    <x:row r="95">
      <x:c r="A95" s="66" t="n">
        <x:v>91</x:v>
      </x:c>
      <x:c r="B95" t="str">
        <x:v>R3</x:v>
      </x:c>
      <x:c r="C95" t="str">
        <x:v>CAPO</x:v>
      </x:c>
      <x:c r="D95" t="str">
        <x:v>pepito</x:v>
      </x:c>
      <x:c r="E95" s="66" t="n">
        <x:v>28</x:v>
      </x:c>
      <x:c r="F95" s="68" t="n">
        <x:v>127.8</x:v>
      </x:c>
    </x:row>
    <x:row r="96">
      <x:c r="A96" s="66" t="n">
        <x:v>92</x:v>
      </x:c>
      <x:c r="B96" t="str">
        <x:v>R3</x:v>
      </x:c>
      <x:c r="C96" t="str">
        <x:v>STRY</x:v>
      </x:c>
      <x:c r="D96" t="str">
        <x:v>Luigi Banana</x:v>
      </x:c>
      <x:c r="E96" s="66" t="n">
        <x:v>30</x:v>
      </x:c>
      <x:c r="F96" s="68" t="n">
        <x:v>125.3</x:v>
      </x:c>
    </x:row>
    <x:row r="97">
      <x:c r="A97" s="66" t="n">
        <x:v>93</x:v>
      </x:c>
      <x:c r="B97" t="str">
        <x:v>R3</x:v>
      </x:c>
      <x:c r="C97" t="str">
        <x:v>CAPO</x:v>
      </x:c>
      <x:c r="D97" t="str">
        <x:v>Texas Roman</x:v>
      </x:c>
      <x:c r="E97" s="66" t="n">
        <x:v>30</x:v>
      </x:c>
      <x:c r="F97" s="68" t="n">
        <x:v>124.4</x:v>
      </x:c>
    </x:row>
    <x:row r="98">
      <x:c r="A98" s="66" t="n">
        <x:v>94</x:v>
      </x:c>
      <x:c r="B98" t="str">
        <x:v>R3</x:v>
      </x:c>
      <x:c r="C98" t="str">
        <x:v>STRY</x:v>
      </x:c>
      <x:c r="D98" t="str">
        <x:v>Pitour</x:v>
      </x:c>
      <x:c r="E98" s="66" t="n">
        <x:v>32</x:v>
      </x:c>
      <x:c r="F98" s="68" t="n">
        <x:v>124.3</x:v>
      </x:c>
    </x:row>
    <x:row r="99">
      <x:c r="A99" s="66" t="n">
        <x:v>95</x:v>
      </x:c>
      <x:c r="B99" t="str">
        <x:v>R3</x:v>
      </x:c>
      <x:c r="C99" t="str">
        <x:v>STRY</x:v>
      </x:c>
      <x:c r="D99" t="str">
        <x:v>Momit</x:v>
      </x:c>
      <x:c r="E99" s="66" t="n">
        <x:v>29</x:v>
      </x:c>
      <x:c r="F99" s="68" t="n">
        <x:v>121.1</x:v>
      </x:c>
    </x:row>
    <x:row r="100">
      <x:c r="A100" s="66" t="n">
        <x:v>96</x:v>
      </x:c>
      <x:c r="B100" t="str">
        <x:v>R3</x:v>
      </x:c>
      <x:c r="C100" t="str">
        <x:v>STRY</x:v>
      </x:c>
      <x:c r="D100" t="str">
        <x:v>Royal09</x:v>
      </x:c>
      <x:c r="E100" s="66" t="n">
        <x:v>30</x:v>
      </x:c>
      <x:c r="F100" s="68" t="n">
        <x:v>115.9</x:v>
      </x:c>
    </x:row>
    <x:row r="101">
      <x:c r="A101" s="66" t="n">
        <x:v>97</x:v>
      </x:c>
      <x:c r="B101" t="str">
        <x:v>R3</x:v>
      </x:c>
      <x:c r="C101" t="str">
        <x:v>STRY</x:v>
      </x:c>
      <x:c r="D101" t="str">
        <x:v>coincoin18</x:v>
      </x:c>
      <x:c r="E101" s="66" t="n">
        <x:v>30</x:v>
      </x:c>
      <x:c r="F101" s="68" t="n">
        <x:v>115.8</x:v>
      </x:c>
    </x:row>
    <x:row r="102">
      <x:c r="A102" s="66" t="n">
        <x:v>98</x:v>
      </x:c>
      <x:c r="B102" t="str">
        <x:v>R3</x:v>
      </x:c>
      <x:c r="C102" t="str">
        <x:v>CAPO</x:v>
      </x:c>
      <x:c r="D102" t="str">
        <x:v>Oggie83</x:v>
      </x:c>
      <x:c r="E102" s="66" t="n">
        <x:v>30</x:v>
      </x:c>
      <x:c r="F102" s="68" t="n">
        <x:v>73.2</x:v>
      </x:c>
    </x:row>
    <x:row r="103">
      <x:c r="A103" s="66" t="n">
        <x:v>99</x:v>
      </x:c>
      <x:c r="B103" t="str">
        <x:v>R3</x:v>
      </x:c>
      <x:c r="C103" t="str">
        <x:v>CAPO</x:v>
      </x:c>
      <x:c r="D103" t="str">
        <x:v>Swarly</x:v>
      </x:c>
      <x:c r="E103" s="66" t="n">
        <x:v>30</x:v>
      </x:c>
      <x:c r="F103" s="68" t="n">
        <x:v>71.6</x:v>
      </x:c>
    </x:row>
    <x:row r="104">
      <x:c r="A104" s="66" t="n">
        <x:v>100</x:v>
      </x:c>
      <x:c r="B104" t="str">
        <x:v>R3</x:v>
      </x:c>
      <x:c r="C104" t="str">
        <x:v>CAPO</x:v>
      </x:c>
      <x:c r="D104" t="str">
        <x:v>Black-wolff</x:v>
      </x:c>
      <x:c r="E104" s="66" t="n">
        <x:v>28</x:v>
      </x:c>
      <x:c r="F104" s="68" t="n">
        <x:v>62.4</x:v>
      </x:c>
    </x:row>
  </x:sheetData>
  <x:mergeCells>
    <x:mergeCell ref="A1:F1"/>
    <x:mergeCell ref="A2:F2"/>
    <x:mergeCell ref="H1:I1"/>
    <x:mergeCell ref="H10:I10"/>
    <x:mergeCell ref="K1:L1"/>
    <x:mergeCell ref="H17:L17"/>
    <x:mergeCell ref="H18:L22"/>
  </x:mergeCells>
  <x:conditionalFormatting sqref="A5:F104">
    <x:cfRule type="expression" dxfId="0" priority="1">
      <x:formula>$F5&lt;$L$2</x:formula>
    </x:cfRule>
    <x:cfRule type="expression" dxfId="1" priority="2">
      <x:formula>$F5&gt;=$L$2</x:formula>
    </x:cfRule>
  </x:conditionalFormatting>
  <x:conditionalFormatting sqref="C5:C104">
    <x:cfRule type="expression" dxfId="2" priority="3">
      <x:formula>$C5="CAPO"</x:formula>
    </x:cfRule>
    <x:cfRule type="expression" dxfId="3" priority="4">
      <x:formula>$C5="ROYL"</x:formula>
    </x:cfRule>
    <x:cfRule type="expression" dxfId="4" priority="5">
      <x:formula>$C5="STRY"</x:formula>
    </x:cfRule>
  </x:conditionalFormatting>
  <x:dataValidations count="1">
    <x:dataValidation type="list" sqref="C5:C104">
      <x:formula1>"STRY,ROYL,CAPO"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ee5fa0710649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24" hidden="0" customWidth="1"/>
    <x:col min="5" max="5" width="9" hidden="0" customWidth="1"/>
    <x:col min="6" max="6" width="12" hidden="0" customWidth="1"/>
    <x:col min="7" max="7" width="28" hidden="0" customWidth="1"/>
    <x:col min="9" max="9" width="18" hidden="0" customWidth="1"/>
    <x:col min="10" max="10" width="14" hidden="0" customWidth="1"/>
  </x:cols>
  <x:sheetData>
    <x:row r="1">
      <x:c r="A1" s="81" t="str">
        <x:v>GW Participation — 9/7 Confirmed</x:v>
      </x:c>
      <x:c r="B1" s="81"/>
      <x:c r="C1" s="81"/>
      <x:c r="D1" s="81"/>
      <x:c r="E1" s="81"/>
      <x:c r="F1" s="81"/>
      <x:c r="G1" s="81"/>
      <x:c r="I1" s="90" t="str">
        <x:v>GW 9/7 Summary</x:v>
      </x:c>
      <x:c r="J1" s="90"/>
    </x:row>
    <x:row r="2">
      <x:c r="A2" s="84" t="str">
        <x:v>Roster copied from the corrected 9/7 sheet • GW confirmation status is matched by username only; power is not used</x:v>
      </x:c>
      <x:c r="B2" s="84"/>
      <x:c r="C2" s="84"/>
      <x:c r="D2" s="84"/>
      <x:c r="E2" s="84"/>
      <x:c r="F2" s="84"/>
      <x:c r="G2" s="84"/>
      <x:c r="I2" s="95" t="str">
        <x:v>Status</x:v>
      </x:c>
      <x:c r="J2" s="96" t="str">
        <x:v>Members</x:v>
      </x:c>
    </x:row>
    <x:row r="3">
      <x:c r="I3" s="38" t="str">
        <x:v>Confirmed</x:v>
      </x:c>
      <x:c r="J3" s="39" t="n">
        <x:f>COUNTIF($G$5:$G$104,"Confirmed")</x:f>
        <x:v>44</x:v>
      </x:c>
    </x:row>
    <x:row r="4">
      <x:c r="A4" s="88" t="str">
        <x:v>Power Rank</x:v>
      </x:c>
      <x:c r="B4" s="88" t="str">
        <x:v>Alliance Rank</x:v>
      </x:c>
      <x:c r="C4" s="88" t="str">
        <x:v>Alliance</x:v>
      </x:c>
      <x:c r="D4" s="88" t="str">
        <x:v>Username</x:v>
      </x:c>
      <x:c r="E4" s="88" t="str">
        <x:v>Level</x:v>
      </x:c>
      <x:c r="F4" s="88" t="str">
        <x:v>Power (M)</x:v>
      </x:c>
      <x:c r="G4" s="88" t="str">
        <x:v>GW Participation 9/7 Confirmed</x:v>
      </x:c>
      <x:c r="I4" s="38" t="str">
        <x:v>Not marked</x:v>
      </x:c>
      <x:c r="J4" s="39" t="n">
        <x:f>COUNTBLANK($G$5:$G$104)</x:f>
        <x:v>56</x:v>
      </x:c>
    </x:row>
    <x:row r="5">
      <x:c r="A5" s="66" t="n">
        <x:v>1</x:v>
      </x:c>
      <x:c r="B5" t="str">
        <x:v>R4</x:v>
      </x:c>
      <x:c r="C5" t="str">
        <x:v>ROYL</x:v>
      </x:c>
      <x:c r="D5" t="str">
        <x:v>Mario AK47</x:v>
      </x:c>
      <x:c r="E5" s="66" t="n">
        <x:v>35</x:v>
      </x:c>
      <x:c r="F5" s="68" t="n">
        <x:v>836.8</x:v>
      </x:c>
      <x:c r="G5" t="str">
        <x:v>Confirmed</x:v>
      </x:c>
      <x:c r="I5" s="40" t="str">
        <x:v>Total</x:v>
      </x:c>
      <x:c r="J5" s="41" t="n">
        <x:f>COUNTA($D$5:$D$104)</x:f>
        <x:v>100</x:v>
      </x:c>
    </x:row>
    <x:row r="6">
      <x:c r="A6" s="66" t="n">
        <x:v>2</x:v>
      </x:c>
      <x:c r="B6" t="str">
        <x:v>R3</x:v>
      </x:c>
      <x:c r="C6" t="str">
        <x:v>CAPO</x:v>
      </x:c>
      <x:c r="D6" t="str">
        <x:v>IcemanPowaaa</x:v>
      </x:c>
      <x:c r="E6" s="66" t="n">
        <x:v>34</x:v>
      </x:c>
      <x:c r="F6" s="68" t="n">
        <x:v>424.4</x:v>
      </x:c>
      <x:c r="G6" t="str"/>
    </x:row>
    <x:row r="7">
      <x:c r="A7" s="66" t="n">
        <x:v>3</x:v>
      </x:c>
      <x:c r="B7" t="str">
        <x:v>R4</x:v>
      </x:c>
      <x:c r="C7" t="str">
        <x:v>ROYL</x:v>
      </x:c>
      <x:c r="D7" t="str">
        <x:v>Appins</x:v>
      </x:c>
      <x:c r="E7" s="66" t="n">
        <x:v>35</x:v>
      </x:c>
      <x:c r="F7" s="68" t="n">
        <x:v>301.3</x:v>
      </x:c>
      <x:c r="G7" t="str">
        <x:v>Confirmed</x:v>
      </x:c>
      <x:c r="I7" s="90" t="str">
        <x:v>Source note</x:v>
      </x:c>
      <x:c r="J7" s="90"/>
    </x:row>
    <x:row r="8">
      <x:c r="A8" s="66" t="n">
        <x:v>4</x:v>
      </x:c>
      <x:c r="B8" t="str">
        <x:v>R3</x:v>
      </x:c>
      <x:c r="C8" t="str">
        <x:v>CAPO</x:v>
      </x:c>
      <x:c r="D8" t="str">
        <x:v>Rrrrrrrrrd</x:v>
      </x:c>
      <x:c r="E8" s="66" t="n">
        <x:v>34</x:v>
      </x:c>
      <x:c r="F8" s="68" t="n">
        <x:v>299.9</x:v>
      </x:c>
      <x:c r="G8" t="str"/>
      <x:c r="I8" s="94" t="str">
        <x:v>Source: ScreenRecording_09-07-2026 10-35-59_1.mp4. Confirmed is based only on usernames shown in the voters list; power values were ignored.</x:v>
      </x:c>
      <x:c r="J8" s="94"/>
    </x:row>
    <x:row r="9">
      <x:c r="A9" s="66" t="n">
        <x:v>5</x:v>
      </x:c>
      <x:c r="B9" t="str">
        <x:v>R3</x:v>
      </x:c>
      <x:c r="C9" t="str">
        <x:v>STRY</x:v>
      </x:c>
      <x:c r="D9" t="str">
        <x:v>Ultra EGO</x:v>
      </x:c>
      <x:c r="E9" s="66" t="n">
        <x:v>35</x:v>
      </x:c>
      <x:c r="F9" s="68" t="n">
        <x:v>295.1</x:v>
      </x:c>
      <x:c r="G9" t="str">
        <x:v>Confirmed</x:v>
      </x:c>
      <x:c r="I9" s="94"/>
      <x:c r="J9" s="94"/>
    </x:row>
    <x:row r="10">
      <x:c r="A10" s="66" t="n">
        <x:v>6</x:v>
      </x:c>
      <x:c r="B10" t="str">
        <x:v>R4</x:v>
      </x:c>
      <x:c r="C10" t="str">
        <x:v>ROYL</x:v>
      </x:c>
      <x:c r="D10" t="str">
        <x:v>Nemo Hoes</x:v>
      </x:c>
      <x:c r="E10" s="66" t="n">
        <x:v>35</x:v>
      </x:c>
      <x:c r="F10" s="68" t="n">
        <x:v>278</x:v>
      </x:c>
      <x:c r="G10" t="str">
        <x:v>Confirmed</x:v>
      </x:c>
      <x:c r="I10" s="94"/>
      <x:c r="J10" s="94"/>
    </x:row>
    <x:row r="11">
      <x:c r="A11" s="66" t="n">
        <x:v>7</x:v>
      </x:c>
      <x:c r="B11" t="str">
        <x:v>R3</x:v>
      </x:c>
      <x:c r="C11" t="str">
        <x:v>ROYL</x:v>
      </x:c>
      <x:c r="D11" t="str">
        <x:v>DeeDeeeee</x:v>
      </x:c>
      <x:c r="E11" s="66" t="n">
        <x:v>35</x:v>
      </x:c>
      <x:c r="F11" s="68" t="n">
        <x:v>265.7</x:v>
      </x:c>
      <x:c r="G11" t="str"/>
    </x:row>
    <x:row r="12">
      <x:c r="A12" s="66" t="n">
        <x:v>8</x:v>
      </x:c>
      <x:c r="B12" t="str">
        <x:v>R5</x:v>
      </x:c>
      <x:c r="C12" t="str">
        <x:v>STRY</x:v>
      </x:c>
      <x:c r="D12" t="str">
        <x:v>Queen Rouge</x:v>
      </x:c>
      <x:c r="E12" s="66" t="n">
        <x:v>33</x:v>
      </x:c>
      <x:c r="F12" s="68" t="n">
        <x:v>264.1</x:v>
      </x:c>
      <x:c r="G12" t="str">
        <x:v>Confirmed</x:v>
      </x:c>
      <x:c r="I12" s="100" t="str">
        <x:v>Confirmed by Alliance</x:v>
      </x:c>
      <x:c r="J12" s="100"/>
    </x:row>
    <x:row r="13">
      <x:c r="A13" s="66" t="n">
        <x:v>9</x:v>
      </x:c>
      <x:c r="B13" t="str">
        <x:v>R3</x:v>
      </x:c>
      <x:c r="C13" t="str">
        <x:v>ROYL</x:v>
      </x:c>
      <x:c r="D13" t="str">
        <x:v>Dorin</x:v>
      </x:c>
      <x:c r="E13" s="66" t="n">
        <x:v>35</x:v>
      </x:c>
      <x:c r="F13" s="68" t="n">
        <x:v>261.6</x:v>
      </x:c>
      <x:c r="G13" t="str">
        <x:v>Confirmed</x:v>
      </x:c>
      <x:c r="I13" s="104" t="str">
        <x:v>Alliance</x:v>
      </x:c>
      <x:c r="J13" s="105" t="str">
        <x:v>Confirmed</x:v>
      </x:c>
    </x:row>
    <x:row r="14">
      <x:c r="A14" s="66" t="n">
        <x:v>10</x:v>
      </x:c>
      <x:c r="B14" t="str">
        <x:v>R3</x:v>
      </x:c>
      <x:c r="C14" t="str">
        <x:v>CAPO</x:v>
      </x:c>
      <x:c r="D14" t="str">
        <x:v>Shastorm</x:v>
      </x:c>
      <x:c r="E14" s="66" t="n">
        <x:v>31</x:v>
      </x:c>
      <x:c r="F14" s="68" t="n">
        <x:v>240.8</x:v>
      </x:c>
      <x:c r="G14" t="str"/>
      <x:c r="I14" s="38" t="str">
        <x:v>STRY</x:v>
      </x:c>
      <x:c r="J14" s="39" t="n">
        <x:f>COUNTIFS($C$5:$C$104,"STRY",$G$5:$G$104,"Confirmed")</x:f>
        <x:v>17</x:v>
      </x:c>
    </x:row>
    <x:row r="15">
      <x:c r="A15" s="66" t="n">
        <x:v>11</x:v>
      </x:c>
      <x:c r="B15" t="str">
        <x:v>R4</x:v>
      </x:c>
      <x:c r="C15" t="str">
        <x:v>ROYL</x:v>
      </x:c>
      <x:c r="D15" t="str">
        <x:v>Apparition-</x:v>
      </x:c>
      <x:c r="E15" s="66" t="n">
        <x:v>35</x:v>
      </x:c>
      <x:c r="F15" s="68" t="n">
        <x:v>239.7</x:v>
      </x:c>
      <x:c r="G15" t="str">
        <x:v>Confirmed</x:v>
      </x:c>
      <x:c r="I15" s="38" t="str">
        <x:v>ROYL</x:v>
      </x:c>
      <x:c r="J15" s="39" t="n">
        <x:f>COUNTIFS($C$5:$C$104,"ROYL",$G$5:$G$104,"Confirmed")</x:f>
        <x:v>18</x:v>
      </x:c>
    </x:row>
    <x:row r="16">
      <x:c r="A16" s="66" t="n">
        <x:v>12</x:v>
      </x:c>
      <x:c r="B16" t="str">
        <x:v>R3</x:v>
      </x:c>
      <x:c r="C16" t="str">
        <x:v>CAPO</x:v>
      </x:c>
      <x:c r="D16" t="str">
        <x:v>R8drz4life</x:v>
      </x:c>
      <x:c r="E16" s="66" t="n">
        <x:v>33</x:v>
      </x:c>
      <x:c r="F16" s="68" t="n">
        <x:v>222.1</x:v>
      </x:c>
      <x:c r="G16" t="str">
        <x:v>Confirmed</x:v>
      </x:c>
      <x:c r="I16" s="38" t="str">
        <x:v>CAPO</x:v>
      </x:c>
      <x:c r="J16" s="39" t="n">
        <x:f>COUNTIFS($C$5:$C$104,"CAPO",$G$5:$G$104,"Confirmed")</x:f>
        <x:v>9</x:v>
      </x:c>
    </x:row>
    <x:row r="17">
      <x:c r="A17" s="66" t="n">
        <x:v>13</x:v>
      </x:c>
      <x:c r="B17" t="str">
        <x:v>R3</x:v>
      </x:c>
      <x:c r="C17" t="str">
        <x:v>ROYL</x:v>
      </x:c>
      <x:c r="D17" t="str">
        <x:v>RockyNoSpeedUps</x:v>
      </x:c>
      <x:c r="E17" s="66" t="n">
        <x:v>34</x:v>
      </x:c>
      <x:c r="F17" s="68" t="n">
        <x:v>215.2</x:v>
      </x:c>
      <x:c r="G17" t="str">
        <x:v>Confirmed</x:v>
      </x:c>
      <x:c r="I17" s="40" t="str">
        <x:v>Total</x:v>
      </x:c>
      <x:c r="J17" s="41" t="n">
        <x:f>COUNTIF($G$5:$G$104,"Confirmed")</x:f>
        <x:v>44</x:v>
      </x:c>
    </x:row>
    <x:row r="18">
      <x:c r="A18" s="66" t="n">
        <x:v>14</x:v>
      </x:c>
      <x:c r="B18" t="str">
        <x:v>R3</x:v>
      </x:c>
      <x:c r="C18" t="str">
        <x:v>ROYL</x:v>
      </x:c>
      <x:c r="D18" t="str">
        <x:v>Dvon Khan</x:v>
      </x:c>
      <x:c r="E18" s="66" t="n">
        <x:v>35</x:v>
      </x:c>
      <x:c r="F18" s="68" t="n">
        <x:v>213.1</x:v>
      </x:c>
      <x:c r="G18" t="str">
        <x:v>Confirmed</x:v>
      </x:c>
    </x:row>
    <x:row r="19">
      <x:c r="A19" s="66" t="n">
        <x:v>15</x:v>
      </x:c>
      <x:c r="B19" t="str">
        <x:v>R3</x:v>
      </x:c>
      <x:c r="C19" t="str">
        <x:v>CAPO</x:v>
      </x:c>
      <x:c r="D19" t="str">
        <x:v>-PIM-</x:v>
      </x:c>
      <x:c r="E19" s="66" t="n">
        <x:v>35</x:v>
      </x:c>
      <x:c r="F19" s="68" t="n">
        <x:v>211</x:v>
      </x:c>
      <x:c r="G19" t="str">
        <x:v>Confirmed</x:v>
      </x:c>
    </x:row>
    <x:row r="20">
      <x:c r="A20" s="66" t="n">
        <x:v>16</x:v>
      </x:c>
      <x:c r="B20" t="str">
        <x:v>R3</x:v>
      </x:c>
      <x:c r="C20" t="str">
        <x:v>STRY</x:v>
      </x:c>
      <x:c r="D20" t="str">
        <x:v>Sats0mNlak</x:v>
      </x:c>
      <x:c r="E20" s="66" t="n">
        <x:v>32</x:v>
      </x:c>
      <x:c r="F20" s="68" t="n">
        <x:v>207.2</x:v>
      </x:c>
      <x:c r="G20" t="str">
        <x:v>Confirmed</x:v>
      </x:c>
    </x:row>
    <x:row r="21">
      <x:c r="A21" s="66" t="n">
        <x:v>17</x:v>
      </x:c>
      <x:c r="B21" t="str">
        <x:v>R3</x:v>
      </x:c>
      <x:c r="C21" t="str">
        <x:v>STRY</x:v>
      </x:c>
      <x:c r="D21" t="str">
        <x:v>JoelitoBB</x:v>
      </x:c>
      <x:c r="E21" s="66" t="n">
        <x:v>34</x:v>
      </x:c>
      <x:c r="F21" s="68" t="n">
        <x:v>206.3</x:v>
      </x:c>
      <x:c r="G21" t="str">
        <x:v>Confirmed</x:v>
      </x:c>
    </x:row>
    <x:row r="22">
      <x:c r="A22" s="66" t="n">
        <x:v>18</x:v>
      </x:c>
      <x:c r="B22" t="str">
        <x:v>R3</x:v>
      </x:c>
      <x:c r="C22" t="str">
        <x:v>STRY</x:v>
      </x:c>
      <x:c r="D22" t="str">
        <x:v>SwiftBunny DH</x:v>
      </x:c>
      <x:c r="E22" s="66" t="n">
        <x:v>33</x:v>
      </x:c>
      <x:c r="F22" s="68" t="n">
        <x:v>206</x:v>
      </x:c>
      <x:c r="G22" t="str"/>
    </x:row>
    <x:row r="23">
      <x:c r="A23" s="66" t="n">
        <x:v>19</x:v>
      </x:c>
      <x:c r="B23" t="str">
        <x:v>R3</x:v>
      </x:c>
      <x:c r="C23" t="str">
        <x:v>STRY</x:v>
      </x:c>
      <x:c r="D23" t="str">
        <x:v>JAY QUEEN</x:v>
      </x:c>
      <x:c r="E23" s="66" t="n">
        <x:v>35</x:v>
      </x:c>
      <x:c r="F23" s="68" t="n">
        <x:v>204.4</x:v>
      </x:c>
      <x:c r="G23" t="str">
        <x:v>Confirmed</x:v>
      </x:c>
    </x:row>
    <x:row r="24">
      <x:c r="A24" s="66" t="n">
        <x:v>20</x:v>
      </x:c>
      <x:c r="B24" t="str">
        <x:v>R3</x:v>
      </x:c>
      <x:c r="C24" t="str">
        <x:v>ROYL</x:v>
      </x:c>
      <x:c r="D24" t="str">
        <x:v>Tẽmujïn</x:v>
      </x:c>
      <x:c r="E24" s="66" t="n">
        <x:v>34</x:v>
      </x:c>
      <x:c r="F24" s="68" t="n">
        <x:v>203</x:v>
      </x:c>
      <x:c r="G24" t="str"/>
    </x:row>
    <x:row r="25">
      <x:c r="A25" s="66" t="n">
        <x:v>21</x:v>
      </x:c>
      <x:c r="B25" t="str">
        <x:v>R3</x:v>
      </x:c>
      <x:c r="C25" t="str">
        <x:v>CAPO</x:v>
      </x:c>
      <x:c r="D25" t="str">
        <x:v>Captain Cake</x:v>
      </x:c>
      <x:c r="E25" s="66" t="n">
        <x:v>34</x:v>
      </x:c>
      <x:c r="F25" s="68" t="n">
        <x:v>202.6</x:v>
      </x:c>
      <x:c r="G25" t="str"/>
    </x:row>
    <x:row r="26">
      <x:c r="A26" s="66" t="n">
        <x:v>22</x:v>
      </x:c>
      <x:c r="B26" t="str">
        <x:v>R3</x:v>
      </x:c>
      <x:c r="C26" t="str">
        <x:v>STRY</x:v>
      </x:c>
      <x:c r="D26" t="str">
        <x:v>Victoria13</x:v>
      </x:c>
      <x:c r="E26" s="66" t="n">
        <x:v>34</x:v>
      </x:c>
      <x:c r="F26" s="68" t="n">
        <x:v>201.3</x:v>
      </x:c>
      <x:c r="G26" t="str">
        <x:v>Confirmed</x:v>
      </x:c>
    </x:row>
    <x:row r="27">
      <x:c r="A27" s="66" t="n">
        <x:v>23</x:v>
      </x:c>
      <x:c r="B27" t="str">
        <x:v>R3</x:v>
      </x:c>
      <x:c r="C27" t="str">
        <x:v>ROYL</x:v>
      </x:c>
      <x:c r="D27" t="str">
        <x:v>CooksLS9</x:v>
      </x:c>
      <x:c r="E27" s="66" t="n">
        <x:v>34</x:v>
      </x:c>
      <x:c r="F27" s="68" t="n">
        <x:v>201.1</x:v>
      </x:c>
      <x:c r="G27" t="str"/>
    </x:row>
    <x:row r="28">
      <x:c r="A28" s="66" t="n">
        <x:v>24</x:v>
      </x:c>
      <x:c r="B28" t="str">
        <x:v>R4</x:v>
      </x:c>
      <x:c r="C28" t="str">
        <x:v>CAPO</x:v>
      </x:c>
      <x:c r="D28" t="str">
        <x:v>Mada</x:v>
      </x:c>
      <x:c r="E28" s="66" t="n">
        <x:v>32</x:v>
      </x:c>
      <x:c r="F28" s="68" t="n">
        <x:v>199.6</x:v>
      </x:c>
      <x:c r="G28" t="str"/>
    </x:row>
    <x:row r="29">
      <x:c r="A29" s="66" t="n">
        <x:v>25</x:v>
      </x:c>
      <x:c r="B29" t="str">
        <x:v>R3</x:v>
      </x:c>
      <x:c r="C29" t="str">
        <x:v>STRY</x:v>
      </x:c>
      <x:c r="D29" t="str">
        <x:v>• Dyo •</x:v>
      </x:c>
      <x:c r="E29" s="66" t="n">
        <x:v>32</x:v>
      </x:c>
      <x:c r="F29" s="68" t="n">
        <x:v>199.3</x:v>
      </x:c>
      <x:c r="G29" t="str"/>
    </x:row>
    <x:row r="30">
      <x:c r="A30" s="66" t="n">
        <x:v>26</x:v>
      </x:c>
      <x:c r="B30" t="str">
        <x:v>R3</x:v>
      </x:c>
      <x:c r="C30" t="str">
        <x:v>ROYL</x:v>
      </x:c>
      <x:c r="D30" t="str">
        <x:v>UndertakerGreg</x:v>
      </x:c>
      <x:c r="E30" s="66" t="n">
        <x:v>32</x:v>
      </x:c>
      <x:c r="F30" s="68" t="n">
        <x:v>198.3</x:v>
      </x:c>
      <x:c r="G30" t="str">
        <x:v>Confirmed</x:v>
      </x:c>
    </x:row>
    <x:row r="31">
      <x:c r="A31" s="66" t="n">
        <x:v>27</x:v>
      </x:c>
      <x:c r="B31" t="str">
        <x:v>R3</x:v>
      </x:c>
      <x:c r="C31" t="str">
        <x:v>STRY</x:v>
      </x:c>
      <x:c r="D31" t="str">
        <x:v>Elmo</x:v>
      </x:c>
      <x:c r="E31" s="66" t="n">
        <x:v>35</x:v>
      </x:c>
      <x:c r="F31" s="68" t="n">
        <x:v>197.9</x:v>
      </x:c>
      <x:c r="G31" t="str"/>
    </x:row>
    <x:row r="32">
      <x:c r="A32" s="66" t="n">
        <x:v>28</x:v>
      </x:c>
      <x:c r="B32" t="str">
        <x:v>R3</x:v>
      </x:c>
      <x:c r="C32" t="str">
        <x:v>ROYL</x:v>
      </x:c>
      <x:c r="D32" t="str">
        <x:v>Chika Strike</x:v>
      </x:c>
      <x:c r="E32" s="66" t="n">
        <x:v>32</x:v>
      </x:c>
      <x:c r="F32" s="68" t="n">
        <x:v>197.7</x:v>
      </x:c>
      <x:c r="G32" t="str">
        <x:v>Confirmed</x:v>
      </x:c>
    </x:row>
    <x:row r="33">
      <x:c r="A33" s="66" t="n">
        <x:v>29</x:v>
      </x:c>
      <x:c r="B33" t="str">
        <x:v>R3</x:v>
      </x:c>
      <x:c r="C33" t="str">
        <x:v>ROYL</x:v>
      </x:c>
      <x:c r="D33" t="str">
        <x:v>SnoopyB</x:v>
      </x:c>
      <x:c r="E33" s="66" t="n">
        <x:v>35</x:v>
      </x:c>
      <x:c r="F33" s="68" t="n">
        <x:v>196.2</x:v>
      </x:c>
      <x:c r="G33" t="str"/>
    </x:row>
    <x:row r="34">
      <x:c r="A34" s="66" t="n">
        <x:v>30</x:v>
      </x:c>
      <x:c r="B34" t="str">
        <x:v>R3</x:v>
      </x:c>
      <x:c r="C34" t="str">
        <x:v>CAPO</x:v>
      </x:c>
      <x:c r="D34" t="str">
        <x:v>hausshavoc</x:v>
      </x:c>
      <x:c r="E34" s="66" t="n">
        <x:v>31</x:v>
      </x:c>
      <x:c r="F34" s="68" t="n">
        <x:v>193.9</x:v>
      </x:c>
      <x:c r="G34" t="str"/>
    </x:row>
    <x:row r="35">
      <x:c r="A35" s="66" t="n">
        <x:v>31</x:v>
      </x:c>
      <x:c r="B35" t="str">
        <x:v>R3</x:v>
      </x:c>
      <x:c r="C35" t="str">
        <x:v>ROYL</x:v>
      </x:c>
      <x:c r="D35" t="str">
        <x:v>MaKaRa</x:v>
      </x:c>
      <x:c r="E35" s="66" t="n">
        <x:v>34</x:v>
      </x:c>
      <x:c r="F35" s="68" t="n">
        <x:v>193.6</x:v>
      </x:c>
      <x:c r="G35" t="str"/>
    </x:row>
    <x:row r="36">
      <x:c r="A36" s="66" t="n">
        <x:v>32</x:v>
      </x:c>
      <x:c r="B36" t="str">
        <x:v>R3</x:v>
      </x:c>
      <x:c r="C36" t="str">
        <x:v>CAPO</x:v>
      </x:c>
      <x:c r="D36" t="str">
        <x:v>Giovanni Savage</x:v>
      </x:c>
      <x:c r="E36" s="66" t="n">
        <x:v>35</x:v>
      </x:c>
      <x:c r="F36" s="68" t="n">
        <x:v>192.7</x:v>
      </x:c>
      <x:c r="G36" t="str"/>
    </x:row>
    <x:row r="37">
      <x:c r="A37" s="66" t="n">
        <x:v>33</x:v>
      </x:c>
      <x:c r="B37" t="str">
        <x:v>R3</x:v>
      </x:c>
      <x:c r="C37" t="str">
        <x:v>STRY</x:v>
      </x:c>
      <x:c r="D37" t="str">
        <x:v>KEV1980</x:v>
      </x:c>
      <x:c r="E37" s="66" t="n">
        <x:v>33</x:v>
      </x:c>
      <x:c r="F37" s="68" t="n">
        <x:v>191.7</x:v>
      </x:c>
      <x:c r="G37" t="str">
        <x:v>Confirmed</x:v>
      </x:c>
    </x:row>
    <x:row r="38">
      <x:c r="A38" s="66" t="n">
        <x:v>34</x:v>
      </x:c>
      <x:c r="B38" t="str">
        <x:v>R3</x:v>
      </x:c>
      <x:c r="C38" t="str">
        <x:v>ROYL</x:v>
      </x:c>
      <x:c r="D38" t="str">
        <x:v>raZ</x:v>
      </x:c>
      <x:c r="E38" s="66" t="n">
        <x:v>34</x:v>
      </x:c>
      <x:c r="F38" s="68" t="n">
        <x:v>190.8</x:v>
      </x:c>
      <x:c r="G38" t="str">
        <x:v>Confirmed</x:v>
      </x:c>
    </x:row>
    <x:row r="39">
      <x:c r="A39" s="66" t="n">
        <x:v>35</x:v>
      </x:c>
      <x:c r="B39" t="str">
        <x:v>R3</x:v>
      </x:c>
      <x:c r="C39" t="str">
        <x:v>CAPO</x:v>
      </x:c>
      <x:c r="D39" t="str">
        <x:v>Dinkleberg6969</x:v>
      </x:c>
      <x:c r="E39" s="66" t="n">
        <x:v>32</x:v>
      </x:c>
      <x:c r="F39" s="68" t="n">
        <x:v>188.3</x:v>
      </x:c>
      <x:c r="G39" t="str"/>
    </x:row>
    <x:row r="40">
      <x:c r="A40" s="66" t="n">
        <x:v>36</x:v>
      </x:c>
      <x:c r="B40" t="str">
        <x:v>R3</x:v>
      </x:c>
      <x:c r="C40" t="str">
        <x:v>ROYL</x:v>
      </x:c>
      <x:c r="D40" t="str">
        <x:v>MathSic</x:v>
      </x:c>
      <x:c r="E40" s="66" t="n">
        <x:v>35</x:v>
      </x:c>
      <x:c r="F40" s="68" t="n">
        <x:v>187.2</x:v>
      </x:c>
      <x:c r="G40" t="str"/>
    </x:row>
    <x:row r="41">
      <x:c r="A41" s="66" t="n">
        <x:v>37</x:v>
      </x:c>
      <x:c r="B41" t="str">
        <x:v>R3</x:v>
      </x:c>
      <x:c r="C41" t="str">
        <x:v>ROYL</x:v>
      </x:c>
      <x:c r="D41" t="str">
        <x:v>Tubbie 300BLK</x:v>
      </x:c>
      <x:c r="E41" s="66" t="n">
        <x:v>33</x:v>
      </x:c>
      <x:c r="F41" s="68" t="n">
        <x:v>186.9</x:v>
      </x:c>
      <x:c r="G41" t="str">
        <x:v>Confirmed</x:v>
      </x:c>
    </x:row>
    <x:row r="42">
      <x:c r="A42" s="66" t="n">
        <x:v>38</x:v>
      </x:c>
      <x:c r="B42" t="str">
        <x:v>R3</x:v>
      </x:c>
      <x:c r="C42" t="str">
        <x:v>STRY</x:v>
      </x:c>
      <x:c r="D42" t="str">
        <x:v>Kane •</x:v>
      </x:c>
      <x:c r="E42" s="66" t="n">
        <x:v>34</x:v>
      </x:c>
      <x:c r="F42" s="68" t="n">
        <x:v>186.5</x:v>
      </x:c>
      <x:c r="G42" t="str"/>
    </x:row>
    <x:row r="43">
      <x:c r="A43" s="66" t="n">
        <x:v>39</x:v>
      </x:c>
      <x:c r="B43" t="str">
        <x:v>R3</x:v>
      </x:c>
      <x:c r="C43" t="str">
        <x:v>STRY</x:v>
      </x:c>
      <x:c r="D43" t="str">
        <x:v>PablitoSnow</x:v>
      </x:c>
      <x:c r="E43" s="66" t="n">
        <x:v>30</x:v>
      </x:c>
      <x:c r="F43" s="68" t="n">
        <x:v>183.8</x:v>
      </x:c>
      <x:c r="G43" t="str">
        <x:v>Confirmed</x:v>
      </x:c>
    </x:row>
    <x:row r="44">
      <x:c r="A44" s="66" t="n">
        <x:v>40</x:v>
      </x:c>
      <x:c r="B44" t="str">
        <x:v>R3</x:v>
      </x:c>
      <x:c r="C44" t="str">
        <x:v>ROYL</x:v>
      </x:c>
      <x:c r="D44" t="str">
        <x:v>JetPed</x:v>
      </x:c>
      <x:c r="E44" s="66" t="n">
        <x:v>31</x:v>
      </x:c>
      <x:c r="F44" s="68" t="n">
        <x:v>183</x:v>
      </x:c>
      <x:c r="G44" t="str"/>
    </x:row>
    <x:row r="45">
      <x:c r="A45" s="66" t="n">
        <x:v>41</x:v>
      </x:c>
      <x:c r="B45" t="str">
        <x:v>R3</x:v>
      </x:c>
      <x:c r="C45" t="str">
        <x:v>ROYL</x:v>
      </x:c>
      <x:c r="D45" t="str">
        <x:v>Flowmotion47</x:v>
      </x:c>
      <x:c r="E45" s="66" t="n">
        <x:v>30</x:v>
      </x:c>
      <x:c r="F45" s="68" t="n">
        <x:v>182.8</x:v>
      </x:c>
      <x:c r="G45" t="str">
        <x:v>Confirmed</x:v>
      </x:c>
    </x:row>
    <x:row r="46">
      <x:c r="A46" s="66" t="n">
        <x:v>42</x:v>
      </x:c>
      <x:c r="B46" t="str">
        <x:v>R3</x:v>
      </x:c>
      <x:c r="C46" t="str">
        <x:v>ROYL</x:v>
      </x:c>
      <x:c r="D46" t="str">
        <x:v>Mapinski</x:v>
      </x:c>
      <x:c r="E46" s="66" t="n">
        <x:v>35</x:v>
      </x:c>
      <x:c r="F46" s="68" t="n">
        <x:v>181.9</x:v>
      </x:c>
      <x:c r="G46" t="str">
        <x:v>Confirmed</x:v>
      </x:c>
    </x:row>
    <x:row r="47">
      <x:c r="A47" s="66" t="n">
        <x:v>43</x:v>
      </x:c>
      <x:c r="B47" t="str">
        <x:v>R4</x:v>
      </x:c>
      <x:c r="C47" t="str">
        <x:v>CAPO</x:v>
      </x:c>
      <x:c r="D47" t="str">
        <x:v>RosolinoFriddi</x:v>
      </x:c>
      <x:c r="E47" s="66" t="n">
        <x:v>32</x:v>
      </x:c>
      <x:c r="F47" s="68" t="n">
        <x:v>180.9</x:v>
      </x:c>
      <x:c r="G47" t="str">
        <x:v>Confirmed</x:v>
      </x:c>
    </x:row>
    <x:row r="48">
      <x:c r="A48" s="66" t="n">
        <x:v>44</x:v>
      </x:c>
      <x:c r="B48" t="str">
        <x:v>R3</x:v>
      </x:c>
      <x:c r="C48" t="str">
        <x:v>ROYL</x:v>
      </x:c>
      <x:c r="D48" t="str">
        <x:v>• TooN •</x:v>
      </x:c>
      <x:c r="E48" s="66" t="n">
        <x:v>34</x:v>
      </x:c>
      <x:c r="F48" s="68" t="n">
        <x:v>179.7</x:v>
      </x:c>
      <x:c r="G48" t="str"/>
    </x:row>
    <x:row r="49">
      <x:c r="A49" s="66" t="n">
        <x:v>45</x:v>
      </x:c>
      <x:c r="B49" t="str">
        <x:v>R3</x:v>
      </x:c>
      <x:c r="C49" t="str">
        <x:v>STRY</x:v>
      </x:c>
      <x:c r="D49" t="str">
        <x:v>Matt02</x:v>
      </x:c>
      <x:c r="E49" s="66" t="n">
        <x:v>33</x:v>
      </x:c>
      <x:c r="F49" s="68" t="n">
        <x:v>179.4</x:v>
      </x:c>
      <x:c r="G49" t="str"/>
    </x:row>
    <x:row r="50">
      <x:c r="A50" s="66" t="n">
        <x:v>46</x:v>
      </x:c>
      <x:c r="B50" t="str">
        <x:v>R3</x:v>
      </x:c>
      <x:c r="C50" t="str">
        <x:v>STRY</x:v>
      </x:c>
      <x:c r="D50" t="str">
        <x:v>PajuHalfLapin</x:v>
      </x:c>
      <x:c r="E50" s="66" t="n">
        <x:v>31</x:v>
      </x:c>
      <x:c r="F50" s="68" t="n">
        <x:v>178.9</x:v>
      </x:c>
      <x:c r="G50" t="str">
        <x:v>Confirmed</x:v>
      </x:c>
    </x:row>
    <x:row r="51">
      <x:c r="A51" s="66" t="n">
        <x:v>47</x:v>
      </x:c>
      <x:c r="B51" t="str">
        <x:v>R3</x:v>
      </x:c>
      <x:c r="C51" t="str">
        <x:v>STRY</x:v>
      </x:c>
      <x:c r="D51" t="str">
        <x:v>DemonKingg</x:v>
      </x:c>
      <x:c r="E51" s="66" t="n">
        <x:v>33</x:v>
      </x:c>
      <x:c r="F51" s="68" t="n">
        <x:v>178.7</x:v>
      </x:c>
      <x:c r="G51" t="str"/>
    </x:row>
    <x:row r="52">
      <x:c r="A52" s="66" t="n">
        <x:v>48</x:v>
      </x:c>
      <x:c r="B52" t="str">
        <x:v>R3</x:v>
      </x:c>
      <x:c r="C52" t="str">
        <x:v>STRY</x:v>
      </x:c>
      <x:c r="D52" t="str">
        <x:v>Provh</x:v>
      </x:c>
      <x:c r="E52" s="66" t="n">
        <x:v>30</x:v>
      </x:c>
      <x:c r="F52" s="68" t="n">
        <x:v>178</x:v>
      </x:c>
      <x:c r="G52" t="str">
        <x:v>Confirmed</x:v>
      </x:c>
    </x:row>
    <x:row r="53">
      <x:c r="A53" s="66" t="n">
        <x:v>49</x:v>
      </x:c>
      <x:c r="B53" t="str">
        <x:v>R3</x:v>
      </x:c>
      <x:c r="C53" t="str">
        <x:v>CAPO</x:v>
      </x:c>
      <x:c r="D53" t="str">
        <x:v>Twist of Fate</x:v>
      </x:c>
      <x:c r="E53" s="66" t="n">
        <x:v>32</x:v>
      </x:c>
      <x:c r="F53" s="68" t="n">
        <x:v>177.2</x:v>
      </x:c>
      <x:c r="G53" t="str"/>
    </x:row>
    <x:row r="54">
      <x:c r="A54" s="66" t="n">
        <x:v>50</x:v>
      </x:c>
      <x:c r="B54" t="str">
        <x:v>R3</x:v>
      </x:c>
      <x:c r="C54" t="str">
        <x:v>ROYL</x:v>
      </x:c>
      <x:c r="D54" t="str">
        <x:v>Anton S</x:v>
      </x:c>
      <x:c r="E54" s="66" t="n">
        <x:v>34</x:v>
      </x:c>
      <x:c r="F54" s="68" t="n">
        <x:v>176.6</x:v>
      </x:c>
      <x:c r="G54" t="str">
        <x:v>Confirmed</x:v>
      </x:c>
    </x:row>
    <x:row r="55">
      <x:c r="A55" s="66" t="n">
        <x:v>51</x:v>
      </x:c>
      <x:c r="B55" t="str">
        <x:v>R3</x:v>
      </x:c>
      <x:c r="C55" t="str">
        <x:v>ROYL</x:v>
      </x:c>
      <x:c r="D55" t="str">
        <x:v>-Yeti-</x:v>
      </x:c>
      <x:c r="E55" s="66" t="n">
        <x:v>32</x:v>
      </x:c>
      <x:c r="F55" s="68" t="n">
        <x:v>174.9</x:v>
      </x:c>
      <x:c r="G55" t="str"/>
    </x:row>
    <x:row r="56">
      <x:c r="A56" s="66" t="n">
        <x:v>52</x:v>
      </x:c>
      <x:c r="B56" t="str">
        <x:v>R3</x:v>
      </x:c>
      <x:c r="C56" t="str">
        <x:v>STRY</x:v>
      </x:c>
      <x:c r="D56" t="str">
        <x:v>SophieUa</x:v>
      </x:c>
      <x:c r="E56" s="66" t="n">
        <x:v>32</x:v>
      </x:c>
      <x:c r="F56" s="68" t="n">
        <x:v>174.4</x:v>
      </x:c>
      <x:c r="G56" t="str">
        <x:v>Confirmed</x:v>
      </x:c>
    </x:row>
    <x:row r="57">
      <x:c r="A57" s="66" t="n">
        <x:v>53</x:v>
      </x:c>
      <x:c r="B57" t="str">
        <x:v>R3</x:v>
      </x:c>
      <x:c r="C57" t="str">
        <x:v>ROYL</x:v>
      </x:c>
      <x:c r="D57" t="str">
        <x:v>LoC187</x:v>
      </x:c>
      <x:c r="E57" s="66" t="n">
        <x:v>34</x:v>
      </x:c>
      <x:c r="F57" s="68" t="n">
        <x:v>173.7</x:v>
      </x:c>
      <x:c r="G57" t="str"/>
    </x:row>
    <x:row r="58">
      <x:c r="A58" s="66" t="n">
        <x:v>54</x:v>
      </x:c>
      <x:c r="B58" t="str">
        <x:v>R3</x:v>
      </x:c>
      <x:c r="C58" t="str">
        <x:v>STRY</x:v>
      </x:c>
      <x:c r="D58" t="str">
        <x:v>levON</x:v>
      </x:c>
      <x:c r="E58" s="66" t="n">
        <x:v>32</x:v>
      </x:c>
      <x:c r="F58" s="68" t="n">
        <x:v>173.3</x:v>
      </x:c>
      <x:c r="G58" t="str"/>
    </x:row>
    <x:row r="59">
      <x:c r="A59" s="66" t="n">
        <x:v>55</x:v>
      </x:c>
      <x:c r="B59" t="str">
        <x:v>R4</x:v>
      </x:c>
      <x:c r="C59" t="str">
        <x:v>STRY</x:v>
      </x:c>
      <x:c r="D59" t="str">
        <x:v>TinaG</x:v>
      </x:c>
      <x:c r="E59" s="66" t="n">
        <x:v>33</x:v>
      </x:c>
      <x:c r="F59" s="68" t="n">
        <x:v>173.2</x:v>
      </x:c>
      <x:c r="G59" t="str">
        <x:v>Confirmed</x:v>
      </x:c>
    </x:row>
    <x:row r="60">
      <x:c r="A60" s="66" t="n">
        <x:v>56</x:v>
      </x:c>
      <x:c r="B60" t="str">
        <x:v>R3</x:v>
      </x:c>
      <x:c r="C60" t="str">
        <x:v>STRY</x:v>
      </x:c>
      <x:c r="D60" t="str">
        <x:v>Wakeboy</x:v>
      </x:c>
      <x:c r="E60" s="66" t="n">
        <x:v>31</x:v>
      </x:c>
      <x:c r="F60" s="68" t="n">
        <x:v>170.3</x:v>
      </x:c>
      <x:c r="G60" t="str"/>
    </x:row>
    <x:row r="61">
      <x:c r="A61" s="66" t="n">
        <x:v>57</x:v>
      </x:c>
      <x:c r="B61" t="str">
        <x:v>R3</x:v>
      </x:c>
      <x:c r="C61" t="str">
        <x:v>ROYL</x:v>
      </x:c>
      <x:c r="D61" t="str">
        <x:v>Thir13en</x:v>
      </x:c>
      <x:c r="E61" s="66" t="n">
        <x:v>33</x:v>
      </x:c>
      <x:c r="F61" s="68" t="n">
        <x:v>167.3</x:v>
      </x:c>
      <x:c r="G61" t="str"/>
    </x:row>
    <x:row r="62">
      <x:c r="A62" s="66" t="n">
        <x:v>58</x:v>
      </x:c>
      <x:c r="B62" t="str">
        <x:v>R3</x:v>
      </x:c>
      <x:c r="C62" t="str">
        <x:v>CAPO</x:v>
      </x:c>
      <x:c r="D62" t="str">
        <x:v>KingLow</x:v>
      </x:c>
      <x:c r="E62" s="66" t="n">
        <x:v>33</x:v>
      </x:c>
      <x:c r="F62" s="68" t="n">
        <x:v>165</x:v>
      </x:c>
      <x:c r="G62" t="str">
        <x:v>Confirmed</x:v>
      </x:c>
    </x:row>
    <x:row r="63">
      <x:c r="A63" s="66" t="n">
        <x:v>59</x:v>
      </x:c>
      <x:c r="B63" t="str">
        <x:v>R3</x:v>
      </x:c>
      <x:c r="C63" t="str">
        <x:v>ROYL</x:v>
      </x:c>
      <x:c r="D63" t="str">
        <x:v>InkedWitch</x:v>
      </x:c>
      <x:c r="E63" s="66" t="n">
        <x:v>34</x:v>
      </x:c>
      <x:c r="F63" s="68" t="n">
        <x:v>164.7</x:v>
      </x:c>
      <x:c r="G63" t="str"/>
    </x:row>
    <x:row r="64">
      <x:c r="A64" s="66" t="n">
        <x:v>60</x:v>
      </x:c>
      <x:c r="B64" t="str">
        <x:v>R3</x:v>
      </x:c>
      <x:c r="C64" t="str">
        <x:v>ROYL</x:v>
      </x:c>
      <x:c r="D64" t="str">
        <x:v>MamaBt</x:v>
      </x:c>
      <x:c r="E64" s="66" t="n">
        <x:v>32</x:v>
      </x:c>
      <x:c r="F64" s="68" t="n">
        <x:v>164.5</x:v>
      </x:c>
      <x:c r="G64" t="str">
        <x:v>Confirmed</x:v>
      </x:c>
    </x:row>
    <x:row r="65">
      <x:c r="A65" s="66" t="n">
        <x:v>61</x:v>
      </x:c>
      <x:c r="B65" t="str">
        <x:v>R3</x:v>
      </x:c>
      <x:c r="C65" t="str">
        <x:v>CAPO</x:v>
      </x:c>
      <x:c r="D65" t="str">
        <x:v>Galihad</x:v>
      </x:c>
      <x:c r="E65" s="66" t="n">
        <x:v>32</x:v>
      </x:c>
      <x:c r="F65" s="68" t="n">
        <x:v>162.5</x:v>
      </x:c>
      <x:c r="G65" t="str">
        <x:v>Confirmed</x:v>
      </x:c>
    </x:row>
    <x:row r="66">
      <x:c r="A66" s="66" t="n">
        <x:v>62</x:v>
      </x:c>
      <x:c r="B66" t="str">
        <x:v>R3</x:v>
      </x:c>
      <x:c r="C66" t="str">
        <x:v>CAPO</x:v>
      </x:c>
      <x:c r="D66" t="str">
        <x:v>USO Kiwi</x:v>
      </x:c>
      <x:c r="E66" s="66" t="n">
        <x:v>32</x:v>
      </x:c>
      <x:c r="F66" s="68" t="n">
        <x:v>161.9</x:v>
      </x:c>
      <x:c r="G66" t="str">
        <x:v>Confirmed</x:v>
      </x:c>
    </x:row>
    <x:row r="67">
      <x:c r="A67" s="66" t="n">
        <x:v>63</x:v>
      </x:c>
      <x:c r="B67" t="str">
        <x:v>R4</x:v>
      </x:c>
      <x:c r="C67" t="str">
        <x:v>CAPO</x:v>
      </x:c>
      <x:c r="D67" t="str">
        <x:v>Pappless</x:v>
      </x:c>
      <x:c r="E67" s="66" t="n">
        <x:v>31</x:v>
      </x:c>
      <x:c r="F67" s="68" t="n">
        <x:v>158.8</x:v>
      </x:c>
      <x:c r="G67" t="str">
        <x:v>Confirmed</x:v>
      </x:c>
    </x:row>
    <x:row r="68">
      <x:c r="A68" s="66" t="n">
        <x:v>64</x:v>
      </x:c>
      <x:c r="B68" t="str">
        <x:v>R3</x:v>
      </x:c>
      <x:c r="C68" t="str">
        <x:v>ROYL</x:v>
      </x:c>
      <x:c r="D68" t="str">
        <x:v>DontMesswNess</x:v>
      </x:c>
      <x:c r="E68" s="66" t="n">
        <x:v>33</x:v>
      </x:c>
      <x:c r="F68" s="68" t="n">
        <x:v>158.7</x:v>
      </x:c>
      <x:c r="G68" t="str">
        <x:v>Confirmed</x:v>
      </x:c>
    </x:row>
    <x:row r="69">
      <x:c r="A69" s="66" t="n">
        <x:v>65</x:v>
      </x:c>
      <x:c r="B69" t="str">
        <x:v>R3</x:v>
      </x:c>
      <x:c r="C69" t="str">
        <x:v>STRY</x:v>
      </x:c>
      <x:c r="D69" t="str">
        <x:v>Bachter</x:v>
      </x:c>
      <x:c r="E69" s="66" t="n">
        <x:v>32</x:v>
      </x:c>
      <x:c r="F69" s="68" t="n">
        <x:v>158.2</x:v>
      </x:c>
      <x:c r="G69" t="str">
        <x:v>Confirmed</x:v>
      </x:c>
    </x:row>
    <x:row r="70">
      <x:c r="A70" s="66" t="n">
        <x:v>66</x:v>
      </x:c>
      <x:c r="B70" t="str">
        <x:v>R3</x:v>
      </x:c>
      <x:c r="C70" t="str">
        <x:v>ROYL</x:v>
      </x:c>
      <x:c r="D70" t="str">
        <x:v>Dr House 96</x:v>
      </x:c>
      <x:c r="E70" s="66" t="n">
        <x:v>31</x:v>
      </x:c>
      <x:c r="F70" s="68" t="n">
        <x:v>158.1</x:v>
      </x:c>
      <x:c r="G70" t="str"/>
    </x:row>
    <x:row r="71">
      <x:c r="A71" s="66" t="n">
        <x:v>67</x:v>
      </x:c>
      <x:c r="B71" t="str">
        <x:v>R3</x:v>
      </x:c>
      <x:c r="C71" t="str">
        <x:v>CAPO</x:v>
      </x:c>
      <x:c r="D71" t="str">
        <x:v>Sanatio Fax</x:v>
      </x:c>
      <x:c r="E71" s="66" t="n">
        <x:v>31</x:v>
      </x:c>
      <x:c r="F71" s="68" t="n">
        <x:v>157.4</x:v>
      </x:c>
      <x:c r="G71" t="str"/>
    </x:row>
    <x:row r="72">
      <x:c r="A72" s="66" t="n">
        <x:v>68</x:v>
      </x:c>
      <x:c r="B72" t="str">
        <x:v>R3</x:v>
      </x:c>
      <x:c r="C72" t="str">
        <x:v>ROYL</x:v>
      </x:c>
      <x:c r="D72" t="str">
        <x:v>Pmari Snow</x:v>
      </x:c>
      <x:c r="E72" s="66" t="n">
        <x:v>33</x:v>
      </x:c>
      <x:c r="F72" s="68" t="n">
        <x:v>157.3</x:v>
      </x:c>
      <x:c r="G72" t="str">
        <x:v>Confirmed</x:v>
      </x:c>
    </x:row>
    <x:row r="73">
      <x:c r="A73" s="66" t="n">
        <x:v>69</x:v>
      </x:c>
      <x:c r="B73" t="str">
        <x:v>R3</x:v>
      </x:c>
      <x:c r="C73" t="str">
        <x:v>ROYL</x:v>
      </x:c>
      <x:c r="D73" t="str">
        <x:v>pi nk</x:v>
      </x:c>
      <x:c r="E73" s="66" t="n">
        <x:v>31</x:v>
      </x:c>
      <x:c r="F73" s="68" t="n">
        <x:v>156.8</x:v>
      </x:c>
      <x:c r="G73" t="str">
        <x:v>Confirmed</x:v>
      </x:c>
    </x:row>
    <x:row r="74">
      <x:c r="A74" s="66" t="n">
        <x:v>70</x:v>
      </x:c>
      <x:c r="B74" t="str">
        <x:v>R3</x:v>
      </x:c>
      <x:c r="C74" t="str">
        <x:v>ROYL</x:v>
      </x:c>
      <x:c r="D74" t="str">
        <x:v>King of goats</x:v>
      </x:c>
      <x:c r="E74" s="66" t="n">
        <x:v>31</x:v>
      </x:c>
      <x:c r="F74" s="68" t="n">
        <x:v>156.8</x:v>
      </x:c>
      <x:c r="G74" t="str"/>
    </x:row>
    <x:row r="75">
      <x:c r="A75" s="66" t="n">
        <x:v>71</x:v>
      </x:c>
      <x:c r="B75" t="str">
        <x:v>R3</x:v>
      </x:c>
      <x:c r="C75" t="str">
        <x:v>ROYL</x:v>
      </x:c>
      <x:c r="D75" t="str">
        <x:v>MysticPotato</x:v>
      </x:c>
      <x:c r="E75" s="66" t="n">
        <x:v>33</x:v>
      </x:c>
      <x:c r="F75" s="68" t="n">
        <x:v>155.9</x:v>
      </x:c>
      <x:c r="G75" t="str"/>
    </x:row>
    <x:row r="76">
      <x:c r="A76" s="66" t="n">
        <x:v>72</x:v>
      </x:c>
      <x:c r="B76" t="str">
        <x:v>R3</x:v>
      </x:c>
      <x:c r="C76" t="str">
        <x:v>CAPO</x:v>
      </x:c>
      <x:c r="D76" t="str">
        <x:v>Pandoraloft</x:v>
      </x:c>
      <x:c r="E76" s="66" t="n">
        <x:v>31</x:v>
      </x:c>
      <x:c r="F76" s="68" t="n">
        <x:v>153.1</x:v>
      </x:c>
      <x:c r="G76" t="str">
        <x:v>Confirmed</x:v>
      </x:c>
    </x:row>
    <x:row r="77">
      <x:c r="A77" s="66" t="n">
        <x:v>73</x:v>
      </x:c>
      <x:c r="B77" t="str">
        <x:v>R3</x:v>
      </x:c>
      <x:c r="C77" t="str">
        <x:v>STRY</x:v>
      </x:c>
      <x:c r="D77" t="str">
        <x:v>AvatarNavi</x:v>
      </x:c>
      <x:c r="E77" s="66" t="n">
        <x:v>33</x:v>
      </x:c>
      <x:c r="F77" s="68" t="n">
        <x:v>152.6</x:v>
      </x:c>
      <x:c r="G77" t="str">
        <x:v>Confirmed</x:v>
      </x:c>
    </x:row>
    <x:row r="78">
      <x:c r="A78" s="66" t="n">
        <x:v>74</x:v>
      </x:c>
      <x:c r="B78" t="str">
        <x:v>R3</x:v>
      </x:c>
      <x:c r="C78" t="str">
        <x:v>STRY</x:v>
      </x:c>
      <x:c r="D78" t="str">
        <x:v>Potepuhec</x:v>
      </x:c>
      <x:c r="E78" s="66" t="n">
        <x:v>33</x:v>
      </x:c>
      <x:c r="F78" s="68" t="n">
        <x:v>151.5</x:v>
      </x:c>
      <x:c r="G78" t="str"/>
    </x:row>
    <x:row r="79">
      <x:c r="A79" s="66" t="n">
        <x:v>75</x:v>
      </x:c>
      <x:c r="B79" t="str">
        <x:v>R3</x:v>
      </x:c>
      <x:c r="C79" t="str">
        <x:v>STRY</x:v>
      </x:c>
      <x:c r="D79" t="str">
        <x:v>Raul863</x:v>
      </x:c>
      <x:c r="E79" s="66" t="n">
        <x:v>32</x:v>
      </x:c>
      <x:c r="F79" s="68" t="n">
        <x:v>147.1</x:v>
      </x:c>
      <x:c r="G79" t="str">
        <x:v>Confirmed</x:v>
      </x:c>
    </x:row>
    <x:row r="80">
      <x:c r="A80" s="66" t="n">
        <x:v>76</x:v>
      </x:c>
      <x:c r="B80" t="str">
        <x:v>R3</x:v>
      </x:c>
      <x:c r="C80" t="str">
        <x:v>STRY</x:v>
      </x:c>
      <x:c r="D80" t="str">
        <x:v>Kotsos rs6</x:v>
      </x:c>
      <x:c r="E80" s="66" t="n">
        <x:v>30</x:v>
      </x:c>
      <x:c r="F80" s="68" t="n">
        <x:v>144.5</x:v>
      </x:c>
      <x:c r="G80" t="str"/>
    </x:row>
    <x:row r="81">
      <x:c r="A81" s="66" t="n">
        <x:v>77</x:v>
      </x:c>
      <x:c r="B81" t="str">
        <x:v>R3</x:v>
      </x:c>
      <x:c r="C81" t="str">
        <x:v>CAPO</x:v>
      </x:c>
      <x:c r="D81" t="str">
        <x:v>Warriorwarrior</x:v>
      </x:c>
      <x:c r="E81" s="66" t="n">
        <x:v>31</x:v>
      </x:c>
      <x:c r="F81" s="68" t="n">
        <x:v>142.9</x:v>
      </x:c>
      <x:c r="G81" t="str"/>
    </x:row>
    <x:row r="82">
      <x:c r="A82" s="66" t="n">
        <x:v>78</x:v>
      </x:c>
      <x:c r="B82" t="str">
        <x:v>R3</x:v>
      </x:c>
      <x:c r="C82" t="str">
        <x:v>CAPO</x:v>
      </x:c>
      <x:c r="D82" t="str">
        <x:v>Krakenasaurus</x:v>
      </x:c>
      <x:c r="E82" s="66" t="n">
        <x:v>32</x:v>
      </x:c>
      <x:c r="F82" s="68" t="n">
        <x:v>142.3</x:v>
      </x:c>
      <x:c r="G82" t="str"/>
    </x:row>
    <x:row r="83">
      <x:c r="A83" s="66" t="n">
        <x:v>79</x:v>
      </x:c>
      <x:c r="B83" t="str">
        <x:v>R3</x:v>
      </x:c>
      <x:c r="C83" t="str">
        <x:v>STRY</x:v>
      </x:c>
      <x:c r="D83" t="str">
        <x:v>kikimyu</x:v>
      </x:c>
      <x:c r="E83" s="66" t="n">
        <x:v>30</x:v>
      </x:c>
      <x:c r="F83" s="68" t="n">
        <x:v>142</x:v>
      </x:c>
      <x:c r="G83" t="str"/>
    </x:row>
    <x:row r="84">
      <x:c r="A84" s="66" t="n">
        <x:v>80</x:v>
      </x:c>
      <x:c r="B84" t="str">
        <x:v>R3</x:v>
      </x:c>
      <x:c r="C84" t="str">
        <x:v>STRY</x:v>
      </x:c>
      <x:c r="D84" t="str">
        <x:v>Thrykika</x:v>
      </x:c>
      <x:c r="E84" s="66" t="n">
        <x:v>30</x:v>
      </x:c>
      <x:c r="F84" s="68" t="n">
        <x:v>140.3</x:v>
      </x:c>
      <x:c r="G84" t="str">
        <x:v>Confirmed</x:v>
      </x:c>
    </x:row>
    <x:row r="85">
      <x:c r="A85" s="66" t="n">
        <x:v>81</x:v>
      </x:c>
      <x:c r="B85" t="str">
        <x:v>R3</x:v>
      </x:c>
      <x:c r="C85" t="str">
        <x:v>STRY</x:v>
      </x:c>
      <x:c r="D85" t="str">
        <x:v>fivos tech</x:v>
      </x:c>
      <x:c r="E85" s="66" t="n">
        <x:v>30</x:v>
      </x:c>
      <x:c r="F85" s="68" t="n">
        <x:v>139.9</x:v>
      </x:c>
      <x:c r="G85" t="str"/>
    </x:row>
    <x:row r="86">
      <x:c r="A86" s="66" t="n">
        <x:v>82</x:v>
      </x:c>
      <x:c r="B86" t="str">
        <x:v>R3</x:v>
      </x:c>
      <x:c r="C86" t="str">
        <x:v>CAPO</x:v>
      </x:c>
      <x:c r="D86" t="str">
        <x:v>the david</x:v>
      </x:c>
      <x:c r="E86" s="66" t="n">
        <x:v>30</x:v>
      </x:c>
      <x:c r="F86" s="68" t="n">
        <x:v>139</x:v>
      </x:c>
      <x:c r="G86" t="str"/>
    </x:row>
    <x:row r="87">
      <x:c r="A87" s="66" t="n">
        <x:v>83</x:v>
      </x:c>
      <x:c r="B87" t="str">
        <x:v>R3</x:v>
      </x:c>
      <x:c r="C87" t="str">
        <x:v>CAPO</x:v>
      </x:c>
      <x:c r="D87" t="str">
        <x:v>-Aleks-</x:v>
      </x:c>
      <x:c r="E87" s="66" t="n">
        <x:v>31</x:v>
      </x:c>
      <x:c r="F87" s="68" t="n">
        <x:v>138.9</x:v>
      </x:c>
      <x:c r="G87" t="str"/>
    </x:row>
    <x:row r="88">
      <x:c r="A88" s="66" t="n">
        <x:v>84</x:v>
      </x:c>
      <x:c r="B88" t="str">
        <x:v>R3</x:v>
      </x:c>
      <x:c r="C88" t="str">
        <x:v>STRY</x:v>
      </x:c>
      <x:c r="D88" t="str">
        <x:v>Jeanniee</x:v>
      </x:c>
      <x:c r="E88" s="66" t="n">
        <x:v>31</x:v>
      </x:c>
      <x:c r="F88" s="68" t="n">
        <x:v>136.7</x:v>
      </x:c>
      <x:c r="G88" t="str"/>
    </x:row>
    <x:row r="89">
      <x:c r="A89" s="66" t="n">
        <x:v>85</x:v>
      </x:c>
      <x:c r="B89" t="str">
        <x:v>R3</x:v>
      </x:c>
      <x:c r="C89" t="str">
        <x:v>STRY</x:v>
      </x:c>
      <x:c r="D89" t="str">
        <x:v>crumbum271</x:v>
      </x:c>
      <x:c r="E89" s="66" t="n">
        <x:v>30</x:v>
      </x:c>
      <x:c r="F89" s="68" t="n">
        <x:v>135</x:v>
      </x:c>
      <x:c r="G89" t="str"/>
    </x:row>
    <x:row r="90">
      <x:c r="A90" s="66" t="n">
        <x:v>86</x:v>
      </x:c>
      <x:c r="B90" t="str">
        <x:v>R3</x:v>
      </x:c>
      <x:c r="C90" t="str">
        <x:v>CAPO</x:v>
      </x:c>
      <x:c r="D90" t="str">
        <x:v>LostSoul1213</x:v>
      </x:c>
      <x:c r="E90" s="66" t="n">
        <x:v>29</x:v>
      </x:c>
      <x:c r="F90" s="68" t="n">
        <x:v>134.5</x:v>
      </x:c>
      <x:c r="G90" t="str"/>
    </x:row>
    <x:row r="91">
      <x:c r="A91" s="66" t="n">
        <x:v>87</x:v>
      </x:c>
      <x:c r="B91" t="str">
        <x:v>R3</x:v>
      </x:c>
      <x:c r="C91" t="str">
        <x:v>STRY</x:v>
      </x:c>
      <x:c r="D91" t="str">
        <x:v>Wanderer629</x:v>
      </x:c>
      <x:c r="E91" s="66" t="n">
        <x:v>30</x:v>
      </x:c>
      <x:c r="F91" s="68" t="n">
        <x:v>133.7</x:v>
      </x:c>
      <x:c r="G91" t="str"/>
    </x:row>
    <x:row r="92">
      <x:c r="A92" s="66" t="n">
        <x:v>88</x:v>
      </x:c>
      <x:c r="B92" t="str">
        <x:v>R3</x:v>
      </x:c>
      <x:c r="C92" t="str">
        <x:v>STRY</x:v>
      </x:c>
      <x:c r="D92" t="str">
        <x:v>Bigfor86</x:v>
      </x:c>
      <x:c r="E92" s="66" t="n">
        <x:v>32</x:v>
      </x:c>
      <x:c r="F92" s="68" t="n">
        <x:v>131.9</x:v>
      </x:c>
      <x:c r="G92" t="str"/>
    </x:row>
    <x:row r="93">
      <x:c r="A93" s="66" t="n">
        <x:v>89</x:v>
      </x:c>
      <x:c r="B93" t="str">
        <x:v>R3</x:v>
      </x:c>
      <x:c r="C93" t="str">
        <x:v>STRY</x:v>
      </x:c>
      <x:c r="D93" t="str">
        <x:v>SantiSalice</x:v>
      </x:c>
      <x:c r="E93" s="66" t="n">
        <x:v>31</x:v>
      </x:c>
      <x:c r="F93" s="68" t="n">
        <x:v>130.7</x:v>
      </x:c>
      <x:c r="G93" t="str"/>
    </x:row>
    <x:row r="94">
      <x:c r="A94" s="66" t="n">
        <x:v>90</x:v>
      </x:c>
      <x:c r="B94" t="str">
        <x:v>R3</x:v>
      </x:c>
      <x:c r="C94" t="str">
        <x:v>CAPO</x:v>
      </x:c>
      <x:c r="D94" t="str">
        <x:v>Robamboo</x:v>
      </x:c>
      <x:c r="E94" s="66" t="n">
        <x:v>30</x:v>
      </x:c>
      <x:c r="F94" s="68" t="n">
        <x:v>130.1</x:v>
      </x:c>
      <x:c r="G94" t="str"/>
    </x:row>
    <x:row r="95">
      <x:c r="A95" s="66" t="n">
        <x:v>91</x:v>
      </x:c>
      <x:c r="B95" t="str">
        <x:v>R3</x:v>
      </x:c>
      <x:c r="C95" t="str">
        <x:v>CAPO</x:v>
      </x:c>
      <x:c r="D95" t="str">
        <x:v>pepito</x:v>
      </x:c>
      <x:c r="E95" s="66" t="n">
        <x:v>28</x:v>
      </x:c>
      <x:c r="F95" s="68" t="n">
        <x:v>127.8</x:v>
      </x:c>
      <x:c r="G95" t="str"/>
    </x:row>
    <x:row r="96">
      <x:c r="A96" s="66" t="n">
        <x:v>92</x:v>
      </x:c>
      <x:c r="B96" t="str">
        <x:v>R3</x:v>
      </x:c>
      <x:c r="C96" t="str">
        <x:v>STRY</x:v>
      </x:c>
      <x:c r="D96" t="str">
        <x:v>Luigi Banana</x:v>
      </x:c>
      <x:c r="E96" s="66" t="n">
        <x:v>30</x:v>
      </x:c>
      <x:c r="F96" s="68" t="n">
        <x:v>125.3</x:v>
      </x:c>
      <x:c r="G96" t="str"/>
    </x:row>
    <x:row r="97">
      <x:c r="A97" s="66" t="n">
        <x:v>93</x:v>
      </x:c>
      <x:c r="B97" t="str">
        <x:v>R3</x:v>
      </x:c>
      <x:c r="C97" t="str">
        <x:v>CAPO</x:v>
      </x:c>
      <x:c r="D97" t="str">
        <x:v>Texas Roman</x:v>
      </x:c>
      <x:c r="E97" s="66" t="n">
        <x:v>30</x:v>
      </x:c>
      <x:c r="F97" s="68" t="n">
        <x:v>124.4</x:v>
      </x:c>
      <x:c r="G97" t="str"/>
    </x:row>
    <x:row r="98">
      <x:c r="A98" s="66" t="n">
        <x:v>94</x:v>
      </x:c>
      <x:c r="B98" t="str">
        <x:v>R3</x:v>
      </x:c>
      <x:c r="C98" t="str">
        <x:v>STRY</x:v>
      </x:c>
      <x:c r="D98" t="str">
        <x:v>Pitour</x:v>
      </x:c>
      <x:c r="E98" s="66" t="n">
        <x:v>32</x:v>
      </x:c>
      <x:c r="F98" s="68" t="n">
        <x:v>124.3</x:v>
      </x:c>
      <x:c r="G98" t="str">
        <x:v>Confirmed</x:v>
      </x:c>
    </x:row>
    <x:row r="99">
      <x:c r="A99" s="66" t="n">
        <x:v>95</x:v>
      </x:c>
      <x:c r="B99" t="str">
        <x:v>R3</x:v>
      </x:c>
      <x:c r="C99" t="str">
        <x:v>STRY</x:v>
      </x:c>
      <x:c r="D99" t="str">
        <x:v>Momit</x:v>
      </x:c>
      <x:c r="E99" s="66" t="n">
        <x:v>29</x:v>
      </x:c>
      <x:c r="F99" s="68" t="n">
        <x:v>121.1</x:v>
      </x:c>
      <x:c r="G99" t="str"/>
    </x:row>
    <x:row r="100">
      <x:c r="A100" s="66" t="n">
        <x:v>96</x:v>
      </x:c>
      <x:c r="B100" t="str">
        <x:v>R3</x:v>
      </x:c>
      <x:c r="C100" t="str">
        <x:v>STRY</x:v>
      </x:c>
      <x:c r="D100" t="str">
        <x:v>Royal09</x:v>
      </x:c>
      <x:c r="E100" s="66" t="n">
        <x:v>30</x:v>
      </x:c>
      <x:c r="F100" s="68" t="n">
        <x:v>115.9</x:v>
      </x:c>
      <x:c r="G100" t="str"/>
    </x:row>
    <x:row r="101">
      <x:c r="A101" s="66" t="n">
        <x:v>97</x:v>
      </x:c>
      <x:c r="B101" t="str">
        <x:v>R3</x:v>
      </x:c>
      <x:c r="C101" t="str">
        <x:v>STRY</x:v>
      </x:c>
      <x:c r="D101" t="str">
        <x:v>coincoin18</x:v>
      </x:c>
      <x:c r="E101" s="66" t="n">
        <x:v>30</x:v>
      </x:c>
      <x:c r="F101" s="68" t="n">
        <x:v>115.8</x:v>
      </x:c>
      <x:c r="G101" t="str"/>
    </x:row>
    <x:row r="102">
      <x:c r="A102" s="66" t="n">
        <x:v>98</x:v>
      </x:c>
      <x:c r="B102" t="str">
        <x:v>R3</x:v>
      </x:c>
      <x:c r="C102" t="str">
        <x:v>CAPO</x:v>
      </x:c>
      <x:c r="D102" t="str">
        <x:v>Oggie83</x:v>
      </x:c>
      <x:c r="E102" s="66" t="n">
        <x:v>30</x:v>
      </x:c>
      <x:c r="F102" s="68" t="n">
        <x:v>73.2</x:v>
      </x:c>
      <x:c r="G102" t="str"/>
    </x:row>
    <x:row r="103">
      <x:c r="A103" s="66" t="n">
        <x:v>99</x:v>
      </x:c>
      <x:c r="B103" t="str">
        <x:v>R3</x:v>
      </x:c>
      <x:c r="C103" t="str">
        <x:v>CAPO</x:v>
      </x:c>
      <x:c r="D103" t="str">
        <x:v>Swarly</x:v>
      </x:c>
      <x:c r="E103" s="66" t="n">
        <x:v>30</x:v>
      </x:c>
      <x:c r="F103" s="68" t="n">
        <x:v>71.6</x:v>
      </x:c>
      <x:c r="G103" t="str"/>
    </x:row>
    <x:row r="104">
      <x:c r="A104" s="66" t="n">
        <x:v>100</x:v>
      </x:c>
      <x:c r="B104" t="str">
        <x:v>R3</x:v>
      </x:c>
      <x:c r="C104" t="str">
        <x:v>CAPO</x:v>
      </x:c>
      <x:c r="D104" t="str">
        <x:v>Black-wolff</x:v>
      </x:c>
      <x:c r="E104" s="66" t="n">
        <x:v>28</x:v>
      </x:c>
      <x:c r="F104" s="68" t="n">
        <x:v>62.4</x:v>
      </x:c>
      <x:c r="G104" t="str">
        <x:v>Confirmed</x:v>
      </x:c>
    </x:row>
  </x:sheetData>
  <x:mergeCells>
    <x:mergeCell ref="A1:G1"/>
    <x:mergeCell ref="A2:G2"/>
    <x:mergeCell ref="I1:J1"/>
    <x:mergeCell ref="I7:J7"/>
    <x:mergeCell ref="I8:J10"/>
    <x:mergeCell ref="I12:J12"/>
  </x:mergeCells>
  <x:conditionalFormatting sqref="A5:G104">
    <x:cfRule type="expression" dxfId="5" priority="1">
      <x:formula>$G5="Confirmed"</x:formula>
    </x:cfRule>
  </x:conditionalFormatting>
  <x:dataValidations count="1">
    <x:dataValidation type="list" sqref="G5:G104">
      <x:formula1>"Confirmed"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b2e33775cd4dbb"/>
  </x:tableParts>
</x:worksheet>
</file>